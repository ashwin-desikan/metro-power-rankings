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b27646cb5ea21/Excel Files/"/>
    </mc:Choice>
  </mc:AlternateContent>
  <xr:revisionPtr revIDLastSave="196" documentId="8_{595D2767-5E65-418A-8CBF-B9F1CB0B6B8F}" xr6:coauthVersionLast="47" xr6:coauthVersionMax="47" xr10:uidLastSave="{A8D8F587-F54B-43E2-B854-ABC6C253AD03}"/>
  <bookViews>
    <workbookView xWindow="6990" yWindow="345" windowWidth="30510" windowHeight="16845" activeTab="5" xr2:uid="{0A162ED7-1454-46DB-B884-8A00FDA340E5}"/>
  </bookViews>
  <sheets>
    <sheet name="IPL Table" sheetId="1" r:id="rId1"/>
    <sheet name="IPL Playoff Matches" sheetId="2" r:id="rId2"/>
    <sheet name="Euroleague Table" sheetId="3" r:id="rId3"/>
    <sheet name="Women's Club Football" sheetId="5" r:id="rId4"/>
    <sheet name="WNBA" sheetId="6" r:id="rId5"/>
    <sheet name="Team Valuations" sheetId="8" r:id="rId6"/>
  </sheets>
  <definedNames>
    <definedName name="_xlnm._FilterDatabase" localSheetId="2" hidden="1">'Euroleague Table'!$A$1:$S$1048</definedName>
    <definedName name="_xlnm._FilterDatabase" localSheetId="0" hidden="1">'IPL Table'!$A$1:$N$167</definedName>
    <definedName name="_xlnm._FilterDatabase" localSheetId="5" hidden="1">'Team Valuations'!$A$1:$E$188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67" i="6" l="1"/>
  <c r="R364" i="6"/>
  <c r="R363" i="6"/>
  <c r="R361" i="6"/>
  <c r="R359" i="6"/>
  <c r="R356" i="6"/>
  <c r="R352" i="6"/>
  <c r="R351" i="6"/>
  <c r="R347" i="6"/>
  <c r="R345" i="6"/>
  <c r="R344" i="6"/>
  <c r="R340" i="6"/>
  <c r="R333" i="6"/>
  <c r="R332" i="6"/>
  <c r="R330" i="6"/>
  <c r="R328" i="6"/>
  <c r="R324" i="6"/>
  <c r="R317" i="6"/>
  <c r="R316" i="6"/>
  <c r="R310" i="6"/>
  <c r="R309" i="6"/>
  <c r="R307" i="6"/>
  <c r="R304" i="6"/>
  <c r="R300" i="6"/>
  <c r="R297" i="6"/>
  <c r="R296" i="6"/>
  <c r="R291" i="6"/>
  <c r="R286" i="6"/>
  <c r="R285" i="6"/>
  <c r="R280" i="6"/>
  <c r="R278" i="6"/>
  <c r="R275" i="6"/>
  <c r="R273" i="6"/>
  <c r="R268" i="6"/>
  <c r="R259" i="6"/>
  <c r="R257" i="6"/>
  <c r="R256" i="6"/>
  <c r="R246" i="6"/>
  <c r="R245" i="6"/>
  <c r="R241" i="6"/>
  <c r="R234" i="6"/>
  <c r="R232" i="6"/>
  <c r="R221" i="6"/>
  <c r="R220" i="6"/>
  <c r="R209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3" i="6"/>
  <c r="R114" i="6"/>
  <c r="R115" i="6"/>
  <c r="R116" i="6"/>
  <c r="R117" i="6"/>
  <c r="R118" i="6"/>
  <c r="R119" i="6"/>
  <c r="R120" i="6"/>
  <c r="R121" i="6"/>
  <c r="R122" i="6"/>
  <c r="R123" i="6"/>
  <c r="R125" i="6"/>
  <c r="R126" i="6"/>
  <c r="R127" i="6"/>
  <c r="R128" i="6"/>
  <c r="R129" i="6"/>
  <c r="R130" i="6"/>
  <c r="R131" i="6"/>
  <c r="R132" i="6"/>
  <c r="R134" i="6"/>
  <c r="R135" i="6"/>
  <c r="R137" i="6"/>
  <c r="R138" i="6"/>
  <c r="R139" i="6"/>
  <c r="R140" i="6"/>
  <c r="R141" i="6"/>
  <c r="R142" i="6"/>
  <c r="R143" i="6"/>
  <c r="R144" i="6"/>
  <c r="R145" i="6"/>
  <c r="R147" i="6"/>
  <c r="R149" i="6"/>
  <c r="R150" i="6"/>
  <c r="R151" i="6"/>
  <c r="R152" i="6"/>
  <c r="R153" i="6"/>
  <c r="R154" i="6"/>
  <c r="R155" i="6"/>
  <c r="R156" i="6"/>
  <c r="R157" i="6"/>
  <c r="R158" i="6"/>
  <c r="R161" i="6"/>
  <c r="R162" i="6"/>
  <c r="R163" i="6"/>
  <c r="R164" i="6"/>
  <c r="R165" i="6"/>
  <c r="R166" i="6"/>
  <c r="R167" i="6"/>
  <c r="R168" i="6"/>
  <c r="R170" i="6"/>
  <c r="R172" i="6"/>
  <c r="R173" i="6"/>
  <c r="R174" i="6"/>
  <c r="R175" i="6"/>
  <c r="R176" i="6"/>
  <c r="R177" i="6"/>
  <c r="R178" i="6"/>
  <c r="R179" i="6"/>
  <c r="R180" i="6"/>
  <c r="R181" i="6"/>
  <c r="R183" i="6"/>
  <c r="R185" i="6"/>
  <c r="R186" i="6"/>
  <c r="R187" i="6"/>
  <c r="R188" i="6"/>
  <c r="R189" i="6"/>
  <c r="R190" i="6"/>
  <c r="R191" i="6"/>
  <c r="R192" i="6"/>
  <c r="R194" i="6"/>
  <c r="R195" i="6"/>
  <c r="R197" i="6"/>
  <c r="R198" i="6"/>
  <c r="R200" i="6"/>
  <c r="R201" i="6"/>
  <c r="R202" i="6"/>
  <c r="R203" i="6"/>
  <c r="R204" i="6"/>
  <c r="R205" i="6"/>
  <c r="R206" i="6"/>
  <c r="R208" i="6"/>
  <c r="R211" i="6"/>
  <c r="R212" i="6"/>
  <c r="R213" i="6"/>
  <c r="R214" i="6"/>
  <c r="R215" i="6"/>
  <c r="R216" i="6"/>
  <c r="R218" i="6"/>
  <c r="R219" i="6"/>
  <c r="R222" i="6"/>
  <c r="R223" i="6"/>
  <c r="R225" i="6"/>
  <c r="R226" i="6"/>
  <c r="R227" i="6"/>
  <c r="R228" i="6"/>
  <c r="R229" i="6"/>
  <c r="R230" i="6"/>
  <c r="R233" i="6"/>
  <c r="R235" i="6"/>
  <c r="R236" i="6"/>
  <c r="R237" i="6"/>
  <c r="R239" i="6"/>
  <c r="R240" i="6"/>
  <c r="R242" i="6"/>
  <c r="R243" i="6"/>
  <c r="R244" i="6"/>
  <c r="R247" i="6"/>
  <c r="R248" i="6"/>
  <c r="R250" i="6"/>
  <c r="R251" i="6"/>
  <c r="R252" i="6"/>
  <c r="R253" i="6"/>
  <c r="R255" i="6"/>
  <c r="R258" i="6"/>
  <c r="R260" i="6"/>
  <c r="R261" i="6"/>
  <c r="R262" i="6"/>
  <c r="R264" i="6"/>
  <c r="R265" i="6"/>
  <c r="R267" i="6"/>
  <c r="R269" i="6"/>
  <c r="R270" i="6"/>
  <c r="R271" i="6"/>
  <c r="R272" i="6"/>
  <c r="R274" i="6"/>
  <c r="R279" i="6"/>
  <c r="R281" i="6"/>
  <c r="R282" i="6"/>
  <c r="R283" i="6"/>
  <c r="R284" i="6"/>
  <c r="R287" i="6"/>
  <c r="R288" i="6"/>
  <c r="R290" i="6"/>
  <c r="R292" i="6"/>
  <c r="R293" i="6"/>
  <c r="R294" i="6"/>
  <c r="R299" i="6"/>
  <c r="R302" i="6"/>
  <c r="R303" i="6"/>
  <c r="R305" i="6"/>
  <c r="R306" i="6"/>
  <c r="R308" i="6"/>
  <c r="R313" i="6"/>
  <c r="R314" i="6"/>
  <c r="R315" i="6"/>
  <c r="R319" i="6"/>
  <c r="R320" i="6"/>
  <c r="R321" i="6"/>
  <c r="R322" i="6"/>
  <c r="R323" i="6"/>
  <c r="R326" i="6"/>
  <c r="R329" i="6"/>
  <c r="R331" i="6"/>
  <c r="R334" i="6"/>
  <c r="R336" i="6"/>
  <c r="R337" i="6"/>
  <c r="R338" i="6"/>
  <c r="R339" i="6"/>
  <c r="R343" i="6"/>
  <c r="R346" i="6"/>
  <c r="R348" i="6"/>
  <c r="R349" i="6"/>
  <c r="R353" i="6"/>
  <c r="R355" i="6"/>
  <c r="R357" i="6"/>
  <c r="R358" i="6"/>
  <c r="R362" i="6"/>
  <c r="R365" i="6"/>
  <c r="R366" i="6"/>
  <c r="J988" i="3" l="1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</calcChain>
</file>

<file path=xl/sharedStrings.xml><?xml version="1.0" encoding="utf-8"?>
<sst xmlns="http://schemas.openxmlformats.org/spreadsheetml/2006/main" count="11211" uniqueCount="943">
  <si>
    <t>Pos</t>
  </si>
  <si>
    <t>Team</t>
  </si>
  <si>
    <t>M</t>
  </si>
  <si>
    <t>W</t>
  </si>
  <si>
    <t>L</t>
  </si>
  <si>
    <t>NR</t>
  </si>
  <si>
    <t>Pts</t>
  </si>
  <si>
    <t>NRR</t>
  </si>
  <si>
    <t>Playoffs</t>
  </si>
  <si>
    <t>Rajasthan Royals</t>
  </si>
  <si>
    <t>Kings XI Punjab</t>
  </si>
  <si>
    <t>Chennai Super Kings</t>
  </si>
  <si>
    <t>Delhi Daredevils</t>
  </si>
  <si>
    <t>Mumbai Indians</t>
  </si>
  <si>
    <t>Kolkata Knight Riders</t>
  </si>
  <si>
    <t>Royal Challengers Bangalore</t>
  </si>
  <si>
    <t>Deccan Chargers</t>
  </si>
  <si>
    <t>Kochi Tuskers Kerala</t>
  </si>
  <si>
    <t>Pune Warriors</t>
  </si>
  <si>
    <t>Sunrisers Hyderabad</t>
  </si>
  <si>
    <t>Gujarat Lions</t>
  </si>
  <si>
    <t>Rising Pune Supergiant</t>
  </si>
  <si>
    <t>Delhi Capitals</t>
  </si>
  <si>
    <t>Punjab Kings</t>
  </si>
  <si>
    <t>Gujarat Titans</t>
  </si>
  <si>
    <t>Lucknow Super Giants</t>
  </si>
  <si>
    <t>Royal Challengers Bengaluru</t>
  </si>
  <si>
    <t>Season</t>
  </si>
  <si>
    <t>Name</t>
  </si>
  <si>
    <t>Current</t>
  </si>
  <si>
    <t>Y</t>
  </si>
  <si>
    <t>N</t>
  </si>
  <si>
    <t>Round</t>
  </si>
  <si>
    <t>Team 1</t>
  </si>
  <si>
    <t>Team 2</t>
  </si>
  <si>
    <t>Result</t>
  </si>
  <si>
    <t>Semifinal 1</t>
  </si>
  <si>
    <t>RR won by 105 runs</t>
  </si>
  <si>
    <t>Semifinal 2</t>
  </si>
  <si>
    <t>CSK won by 9 wickets</t>
  </si>
  <si>
    <t>Final</t>
  </si>
  <si>
    <t>RR won by 3 wickets</t>
  </si>
  <si>
    <t>DEC won by 6 wickets</t>
  </si>
  <si>
    <t>RCB won by 6 wickets</t>
  </si>
  <si>
    <t>DEC won by 6 runs</t>
  </si>
  <si>
    <t>MI won by 35 runs</t>
  </si>
  <si>
    <t>CSK won by 38 runs</t>
  </si>
  <si>
    <t>Third-Place Playoff</t>
  </si>
  <si>
    <t>RCB won by 9 wickets</t>
  </si>
  <si>
    <t>CSK won by 22 runs</t>
  </si>
  <si>
    <t>Qualifier 1</t>
  </si>
  <si>
    <t>CSK won by 6 wickets</t>
  </si>
  <si>
    <t>Eliminator</t>
  </si>
  <si>
    <t>MI won by 4 wickets</t>
  </si>
  <si>
    <t>Qualifier 2</t>
  </si>
  <si>
    <t>RCB won by 43 runs</t>
  </si>
  <si>
    <t>CSK won by 58 runs</t>
  </si>
  <si>
    <t>KKR won by 18 runs</t>
  </si>
  <si>
    <t>CSK won by 86 runs</t>
  </si>
  <si>
    <t>KKR won by 5 wickets</t>
  </si>
  <si>
    <t>CSK won by 48 runs</t>
  </si>
  <si>
    <t>RR won by 4 wickets</t>
  </si>
  <si>
    <t>MI won by 23 runs</t>
  </si>
  <si>
    <t>KKR won by 28 runs</t>
  </si>
  <si>
    <t>CSK won by 7 wickets</t>
  </si>
  <si>
    <t>KXIP won by 24 runs</t>
  </si>
  <si>
    <t>KKR won by 3 wickets</t>
  </si>
  <si>
    <t>MI won by 25 runs</t>
  </si>
  <si>
    <t>RCB won by 71 runs</t>
  </si>
  <si>
    <t>CSK won by 3 wickets</t>
  </si>
  <si>
    <t>MI won by 41 runs</t>
  </si>
  <si>
    <t>RCB won by 4 wickets</t>
  </si>
  <si>
    <t>SRH won by 22 runs</t>
  </si>
  <si>
    <t>SRH won by 4 wickets</t>
  </si>
  <si>
    <t>SRH won by 8 runs</t>
  </si>
  <si>
    <t>RPSG won by 20 runs</t>
  </si>
  <si>
    <t>KKR won by 7 wickets (D/L)</t>
  </si>
  <si>
    <t>MI won by 6 wickets</t>
  </si>
  <si>
    <t>MI won by 1 run</t>
  </si>
  <si>
    <t>CSK won by 2 wickets</t>
  </si>
  <si>
    <t>KKR won by 25 runs</t>
  </si>
  <si>
    <t>SRH won by 14 runs</t>
  </si>
  <si>
    <t>CSK won by 8 wickets</t>
  </si>
  <si>
    <t>DC won by 2 wickets</t>
  </si>
  <si>
    <t>MI won by 57 runs</t>
  </si>
  <si>
    <t>SRH won by 6 wickets</t>
  </si>
  <si>
    <t>DC won by 17 runs</t>
  </si>
  <si>
    <t>MI won by 5 wickets</t>
  </si>
  <si>
    <t>CSK won by 4 wickets</t>
  </si>
  <si>
    <t>KKR won by 4 wickets</t>
  </si>
  <si>
    <t>CSK won by 27 runs</t>
  </si>
  <si>
    <t>GT won by 7 wickets</t>
  </si>
  <si>
    <t>RCB won by 14 runs</t>
  </si>
  <si>
    <t>RR won by 7 wickets</t>
  </si>
  <si>
    <t>CSK won by 15 runs</t>
  </si>
  <si>
    <t>MI won by 81 runs</t>
  </si>
  <si>
    <t>GT won by 62 runs</t>
  </si>
  <si>
    <t>CSK won by 5 wickets</t>
  </si>
  <si>
    <t>SRH won by 36 runs</t>
  </si>
  <si>
    <t>KKR won by 8 wickets</t>
  </si>
  <si>
    <t>RCB won by 8 wickets</t>
  </si>
  <si>
    <t>MI won by 20 runs</t>
  </si>
  <si>
    <t>PBKS won by 5 wickets</t>
  </si>
  <si>
    <t>RCB won by 6 runs</t>
  </si>
  <si>
    <t>RCB won by 92 runs</t>
  </si>
  <si>
    <t>RCB won by 5 wickets</t>
  </si>
  <si>
    <t>RR won by 47 runs</t>
  </si>
  <si>
    <t>Champions</t>
  </si>
  <si>
    <t/>
  </si>
  <si>
    <t>Chennai</t>
  </si>
  <si>
    <t>Tamil Nadu</t>
  </si>
  <si>
    <t>Delhi</t>
  </si>
  <si>
    <t>National Capital Territory</t>
  </si>
  <si>
    <t>Ahmedabad</t>
  </si>
  <si>
    <t>Gujarat</t>
  </si>
  <si>
    <t>Calcutta</t>
  </si>
  <si>
    <t>West Bengal</t>
  </si>
  <si>
    <t>Lucknow</t>
  </si>
  <si>
    <t>Uttar Pradesh</t>
  </si>
  <si>
    <t>Mumbai</t>
  </si>
  <si>
    <t>Maharashtra</t>
  </si>
  <si>
    <t>Chandigarh</t>
  </si>
  <si>
    <t>Jaipur</t>
  </si>
  <si>
    <t>Rajasthan</t>
  </si>
  <si>
    <t>Bangalore</t>
  </si>
  <si>
    <t>Karnataka</t>
  </si>
  <si>
    <t>Hyderabad</t>
  </si>
  <si>
    <t>Telangana</t>
  </si>
  <si>
    <t>Metro Area</t>
  </si>
  <si>
    <t>State</t>
  </si>
  <si>
    <t>Kochi</t>
  </si>
  <si>
    <t>Kerala</t>
  </si>
  <si>
    <t>Pune</t>
  </si>
  <si>
    <t>Rajkot</t>
  </si>
  <si>
    <t>Competition</t>
  </si>
  <si>
    <t>League</t>
  </si>
  <si>
    <t>Group</t>
  </si>
  <si>
    <t>1st Round</t>
  </si>
  <si>
    <t>2nd Round</t>
  </si>
  <si>
    <t>W%</t>
  </si>
  <si>
    <t>Play. Ap</t>
  </si>
  <si>
    <t>QF App</t>
  </si>
  <si>
    <t>Final Four App</t>
  </si>
  <si>
    <t>Cham App</t>
  </si>
  <si>
    <t>Champs.</t>
  </si>
  <si>
    <t>QF W</t>
  </si>
  <si>
    <t>QF L</t>
  </si>
  <si>
    <t>Final 4 W</t>
  </si>
  <si>
    <t>Final 4 L</t>
  </si>
  <si>
    <t>Olympiacos BC</t>
  </si>
  <si>
    <t>2025-26</t>
  </si>
  <si>
    <t>EuroLeague</t>
  </si>
  <si>
    <t>Greece</t>
  </si>
  <si>
    <t>Valencia Basket</t>
  </si>
  <si>
    <t>Spain</t>
  </si>
  <si>
    <t>Real Madrid Baloncesto</t>
  </si>
  <si>
    <t>Fenerbahçe Basketball</t>
  </si>
  <si>
    <t>Turkey</t>
  </si>
  <si>
    <t>BC Žalgiris</t>
  </si>
  <si>
    <t>Lithuania</t>
  </si>
  <si>
    <t>Hapoel Tel Aviv BC</t>
  </si>
  <si>
    <t>Israel</t>
  </si>
  <si>
    <t>Panathinaikos BC</t>
  </si>
  <si>
    <t>AS Monaco Basket</t>
  </si>
  <si>
    <t>France</t>
  </si>
  <si>
    <t>KK Crvena zvezda</t>
  </si>
  <si>
    <t>Serbia</t>
  </si>
  <si>
    <t>Dubai Basketball</t>
  </si>
  <si>
    <t>United Arab Emirates</t>
  </si>
  <si>
    <t>Maccabi Tel Aviv BC</t>
  </si>
  <si>
    <t>Olimpia Milano</t>
  </si>
  <si>
    <t>Italy</t>
  </si>
  <si>
    <t>FC Bayern München Basketball</t>
  </si>
  <si>
    <t>Germany</t>
  </si>
  <si>
    <t>KK Partizan</t>
  </si>
  <si>
    <t>Paris Basketball</t>
  </si>
  <si>
    <t>Virtus Bologna</t>
  </si>
  <si>
    <t>Saski Baskonia</t>
  </si>
  <si>
    <t>Anadolu Efes</t>
  </si>
  <si>
    <t>ASVEL Basket</t>
  </si>
  <si>
    <t>2024-25</t>
  </si>
  <si>
    <t>Alba Berlin</t>
  </si>
  <si>
    <t>2023-24</t>
  </si>
  <si>
    <t>2022-23</t>
  </si>
  <si>
    <t>Bitci Baskonia</t>
  </si>
  <si>
    <t>2021-22</t>
  </si>
  <si>
    <t>BC Zenit Saint Petersburg</t>
  </si>
  <si>
    <t>Russia</t>
  </si>
  <si>
    <t>PBC CSKA Moscow</t>
  </si>
  <si>
    <t>BC UNICS Kazan</t>
  </si>
  <si>
    <t>2020-21</t>
  </si>
  <si>
    <t>TD Systems Baskonia</t>
  </si>
  <si>
    <t>BC Khimki</t>
  </si>
  <si>
    <t>2019-20</t>
  </si>
  <si>
    <t>Kirolbet Baskonia</t>
  </si>
  <si>
    <t>2018-19</t>
  </si>
  <si>
    <t>CB Gran Canaria</t>
  </si>
  <si>
    <t>KK Budućnost</t>
  </si>
  <si>
    <t>Montenegro</t>
  </si>
  <si>
    <t>Daçka Basketbol</t>
  </si>
  <si>
    <t>2017-18</t>
  </si>
  <si>
    <t>Unicaja Málaga</t>
  </si>
  <si>
    <t>Brose Bamberg</t>
  </si>
  <si>
    <t>2016-17</t>
  </si>
  <si>
    <t>Galatasaray Basketball</t>
  </si>
  <si>
    <t>Galatasaray Odeabank</t>
  </si>
  <si>
    <t>2015-16</t>
  </si>
  <si>
    <t>D</t>
  </si>
  <si>
    <t>A</t>
  </si>
  <si>
    <t>PBC Lokomotiv Kuban</t>
  </si>
  <si>
    <t>C</t>
  </si>
  <si>
    <t>Laboral Kutxa Baskonia</t>
  </si>
  <si>
    <t>B</t>
  </si>
  <si>
    <t>Brose Baskets</t>
  </si>
  <si>
    <t>KK Cedevita Junior</t>
  </si>
  <si>
    <t>Croatia</t>
  </si>
  <si>
    <t>Limoges CSP</t>
  </si>
  <si>
    <t>SIG Strasbourg</t>
  </si>
  <si>
    <t>Karşıyaka Basket</t>
  </si>
  <si>
    <t>Zastal Zielona Góra</t>
  </si>
  <si>
    <t>Poland</t>
  </si>
  <si>
    <t>Dinamo Sassari</t>
  </si>
  <si>
    <t>2014-15</t>
  </si>
  <si>
    <t>BC Nizhny Novgorod</t>
  </si>
  <si>
    <t>Galatasaray Liv Hospital</t>
  </si>
  <si>
    <t>Neptūnas Klaipėda</t>
  </si>
  <si>
    <t>Turów Zgorzelec</t>
  </si>
  <si>
    <t>2013-14</t>
  </si>
  <si>
    <t>Nanterre 92</t>
  </si>
  <si>
    <t>JSF Nanterre</t>
  </si>
  <si>
    <t>Montepaschi Siena</t>
  </si>
  <si>
    <t>BC Budivelnyk</t>
  </si>
  <si>
    <t>Budivelnyk</t>
  </si>
  <si>
    <t>Ukraine</t>
  </si>
  <si>
    <t>BC Rytas</t>
  </si>
  <si>
    <t>Lietuvos rytas</t>
  </si>
  <si>
    <t>2012-13</t>
  </si>
  <si>
    <t>Beşiktaş Basketbol</t>
  </si>
  <si>
    <t>Élan Chalon</t>
  </si>
  <si>
    <t>Pallacanestro Cantù</t>
  </si>
  <si>
    <t>Mapooro Cantù</t>
  </si>
  <si>
    <t>KK Cedevita Olimpija</t>
  </si>
  <si>
    <t>KK Olimpija</t>
  </si>
  <si>
    <t>Slovenia</t>
  </si>
  <si>
    <t>Arka Gdynia BC</t>
  </si>
  <si>
    <t>Asseco Prokom Gydnia</t>
  </si>
  <si>
    <t>2011-12</t>
  </si>
  <si>
    <t>Bilbao Basket</t>
  </si>
  <si>
    <t>Galatasaray Medical Park</t>
  </si>
  <si>
    <t>SLUC Nancy Basket</t>
  </si>
  <si>
    <t>Spirou Charleroi</t>
  </si>
  <si>
    <t>Belgium</t>
  </si>
  <si>
    <t>KK Zagreb</t>
  </si>
  <si>
    <t>2010-11</t>
  </si>
  <si>
    <t>Caja Laboral</t>
  </si>
  <si>
    <t>Virtus Roma</t>
  </si>
  <si>
    <t>Cholet Basket</t>
  </si>
  <si>
    <t>KK Cibona</t>
  </si>
  <si>
    <t>2009-10</t>
  </si>
  <si>
    <t>Maroussi BC</t>
  </si>
  <si>
    <t>Maroussi</t>
  </si>
  <si>
    <t>Orléans Loiret Basket</t>
  </si>
  <si>
    <t>Entente Orléanaise Loiret</t>
  </si>
  <si>
    <t>Baskets Oldenburg</t>
  </si>
  <si>
    <t>2008-09</t>
  </si>
  <si>
    <t>TAU Cerámica</t>
  </si>
  <si>
    <t>Asseco Prokom Sopot</t>
  </si>
  <si>
    <t>Joventut Badalona</t>
  </si>
  <si>
    <t>Panionios BC</t>
  </si>
  <si>
    <t>Felice Scandone</t>
  </si>
  <si>
    <t>Air Avellino</t>
  </si>
  <si>
    <t>Le Mans Sarthe Basket</t>
  </si>
  <si>
    <t>2007-08</t>
  </si>
  <si>
    <t>Aris Thessaloniki BC</t>
  </si>
  <si>
    <t>Prokom Trefl Sopot</t>
  </si>
  <si>
    <t>2006-07</t>
  </si>
  <si>
    <t>MBC Dynamo Moscow</t>
  </si>
  <si>
    <t>Dynamo Moscow</t>
  </si>
  <si>
    <t>Benetton Treviso</t>
  </si>
  <si>
    <t>Élan Béarnais</t>
  </si>
  <si>
    <t>Élan Béarnais Pau-Orthez</t>
  </si>
  <si>
    <t>SS Basket Napoli</t>
  </si>
  <si>
    <t>RheinStars Köln</t>
  </si>
  <si>
    <t>RheinEnergie Köln</t>
  </si>
  <si>
    <t>2005-06</t>
  </si>
  <si>
    <t>GHP Bamberg</t>
  </si>
  <si>
    <t>AEK BC</t>
  </si>
  <si>
    <t>2004-05</t>
  </si>
  <si>
    <t>Victoria Libertas</t>
  </si>
  <si>
    <t>Victoria Libertas Pesaro</t>
  </si>
  <si>
    <t>Skyliners Frankfurt</t>
  </si>
  <si>
    <t>Opel Skyliners</t>
  </si>
  <si>
    <t>CB Estudiantes</t>
  </si>
  <si>
    <t>Adecco Estudiantes</t>
  </si>
  <si>
    <t>2003-04</t>
  </si>
  <si>
    <t>Fortitudo Bologna</t>
  </si>
  <si>
    <t>WKS Śląsk Wrocław</t>
  </si>
  <si>
    <t>KK Krka</t>
  </si>
  <si>
    <t>2002-03</t>
  </si>
  <si>
    <t>2001-02</t>
  </si>
  <si>
    <t>Ural Great Perm</t>
  </si>
  <si>
    <t>BC Oostende</t>
  </si>
  <si>
    <t>Peristeri BC</t>
  </si>
  <si>
    <t>KK Zadar</t>
  </si>
  <si>
    <t>London Towers</t>
  </si>
  <si>
    <t>United Kingdom</t>
  </si>
  <si>
    <t>2000-01</t>
  </si>
  <si>
    <t>SuproLeague</t>
  </si>
  <si>
    <t>Efes Pilsen</t>
  </si>
  <si>
    <t>PAOK BC</t>
  </si>
  <si>
    <t>KK Split</t>
  </si>
  <si>
    <t>Ülker</t>
  </si>
  <si>
    <t>Yugoslavia</t>
  </si>
  <si>
    <t>Scaligera Basket Verona</t>
  </si>
  <si>
    <t>Iraklis BC</t>
  </si>
  <si>
    <t>Scavolini Pesaro</t>
  </si>
  <si>
    <t>Bayer 04 Leverkusen BC</t>
  </si>
  <si>
    <t>Hapoel Jerusalem BC</t>
  </si>
  <si>
    <t>Lugano Tigers</t>
  </si>
  <si>
    <t>Switzerland</t>
  </si>
  <si>
    <t>Maccabi Ra'anana BC</t>
  </si>
  <si>
    <t>BC Spartak Saint Petersburg</t>
  </si>
  <si>
    <t>BC Luleå</t>
  </si>
  <si>
    <t>Plannja Basket</t>
  </si>
  <si>
    <t>Sweden</t>
  </si>
  <si>
    <t>Ovarense Basquetebol</t>
  </si>
  <si>
    <t>Portugal</t>
  </si>
  <si>
    <t>1999-00</t>
  </si>
  <si>
    <t>FIBA Euroleague</t>
  </si>
  <si>
    <t>Paf Wennington Bologna</t>
  </si>
  <si>
    <t>Union Olimpija</t>
  </si>
  <si>
    <t>Real Madrid Teka</t>
  </si>
  <si>
    <t>Real Betis Baloncesto</t>
  </si>
  <si>
    <t>Caja San Fernando</t>
  </si>
  <si>
    <t>Tofaş SK</t>
  </si>
  <si>
    <t>Pallacanestro Varese</t>
  </si>
  <si>
    <t>Varese Roosters</t>
  </si>
  <si>
    <t>Pivovarna Laško BC</t>
  </si>
  <si>
    <t>1998-99</t>
  </si>
  <si>
    <t>Kinder Bologna</t>
  </si>
  <si>
    <t>Teamsystem Bologna</t>
  </si>
  <si>
    <t>Bàsquet Manresa</t>
  </si>
  <si>
    <t>TDK Manresa</t>
  </si>
  <si>
    <t>BC Avtodor</t>
  </si>
  <si>
    <t>BC Samara</t>
  </si>
  <si>
    <t>1997-98</t>
  </si>
  <si>
    <t>Partizan Zepter</t>
  </si>
  <si>
    <t>FC Barcelona Banca Catalana</t>
  </si>
  <si>
    <t>Türk Telekom BK</t>
  </si>
  <si>
    <t>Türk Telekom PTT</t>
  </si>
  <si>
    <t>Paris Basket Racing</t>
  </si>
  <si>
    <t>FC Porto BC</t>
  </si>
  <si>
    <t>1996-97</t>
  </si>
  <si>
    <t>Smelt Olimpija</t>
  </si>
  <si>
    <t>Stefanel Milano</t>
  </si>
  <si>
    <t>Estudiantes Argentaria</t>
  </si>
  <si>
    <t>KK Croatia Osiguranje</t>
  </si>
  <si>
    <t>Panionios Ethniki Asfalistiki</t>
  </si>
  <si>
    <t>1995-96</t>
  </si>
  <si>
    <t>FIBA European League</t>
  </si>
  <si>
    <t>BC Dinamo Tirana</t>
  </si>
  <si>
    <t>Albania</t>
  </si>
  <si>
    <t>SKN St. Pölten Basketball</t>
  </si>
  <si>
    <t>Sankt Pölten</t>
  </si>
  <si>
    <t>Austria</t>
  </si>
  <si>
    <t>KK Čelik</t>
  </si>
  <si>
    <t>Bosnia-Herzegovina</t>
  </si>
  <si>
    <t>BC Spartak Pleven</t>
  </si>
  <si>
    <t>Bulgaria</t>
  </si>
  <si>
    <t>KK Zrinjevac</t>
  </si>
  <si>
    <t>APOEL BC</t>
  </si>
  <si>
    <t>Cyprus</t>
  </si>
  <si>
    <t>BC Brno</t>
  </si>
  <si>
    <t>Stavex Brno</t>
  </si>
  <si>
    <t>Czech Republic</t>
  </si>
  <si>
    <t>Sheffield Sharks</t>
  </si>
  <si>
    <t>England</t>
  </si>
  <si>
    <t>BC Kalev</t>
  </si>
  <si>
    <t>Estonia</t>
  </si>
  <si>
    <t>Kouvot</t>
  </si>
  <si>
    <t>Finland</t>
  </si>
  <si>
    <t>Dinamo Tbilisi BC</t>
  </si>
  <si>
    <t>Georgia</t>
  </si>
  <si>
    <t>Budapesti Honvéd SE</t>
  </si>
  <si>
    <t>Danone-Honvéd</t>
  </si>
  <si>
    <t>Hungary</t>
  </si>
  <si>
    <t>Hapoel Galil Elyon BC</t>
  </si>
  <si>
    <t>Résidence Walferdange</t>
  </si>
  <si>
    <t>Luxembourg</t>
  </si>
  <si>
    <t>KK Rabotnički</t>
  </si>
  <si>
    <t>Macedonia</t>
  </si>
  <si>
    <t>BV Den Helder</t>
  </si>
  <si>
    <t>Rene Coltof Den Helder</t>
  </si>
  <si>
    <t>Netherlands</t>
  </si>
  <si>
    <t>Mazowzanka</t>
  </si>
  <si>
    <t>BC CSU Sibiu</t>
  </si>
  <si>
    <t>Forest Sibiu</t>
  </si>
  <si>
    <t>Romania</t>
  </si>
  <si>
    <t>BC Prievidza</t>
  </si>
  <si>
    <t>Baník Cígeľ Prievidza</t>
  </si>
  <si>
    <t>Slovakia</t>
  </si>
  <si>
    <t>Alviks BK</t>
  </si>
  <si>
    <t>Fidefinanz Bellinzona</t>
  </si>
  <si>
    <t>Olympique Antibes</t>
  </si>
  <si>
    <t>Buckler Beer Bologna</t>
  </si>
  <si>
    <t>Iraklis Aspis Pronoia</t>
  </si>
  <si>
    <t>Benfica Basket</t>
  </si>
  <si>
    <t>1994-95</t>
  </si>
  <si>
    <t>BC Adelin Pogradec</t>
  </si>
  <si>
    <t>Traiskirchen Lions</t>
  </si>
  <si>
    <t>Möllersdorf Traiskirchen</t>
  </si>
  <si>
    <t>RC Mechelen</t>
  </si>
  <si>
    <t>Maes Flandria</t>
  </si>
  <si>
    <t>KK Sloboda Tuzla</t>
  </si>
  <si>
    <t>KK Sloboda Dita</t>
  </si>
  <si>
    <t>BC Levski Sofia</t>
  </si>
  <si>
    <t>Pezoporikos Larnaca BC</t>
  </si>
  <si>
    <t>Bioveta COOP Banka Brno</t>
  </si>
  <si>
    <t>Thames Valley Tigers</t>
  </si>
  <si>
    <t>BC Tallinn</t>
  </si>
  <si>
    <t>KTP Basket</t>
  </si>
  <si>
    <t>BC VITA Tbilisi</t>
  </si>
  <si>
    <t>Danone Honvéd</t>
  </si>
  <si>
    <t>ASK Brocēni</t>
  </si>
  <si>
    <t>Latvia</t>
  </si>
  <si>
    <t>BSW Weert</t>
  </si>
  <si>
    <t>Lanèche Weert</t>
  </si>
  <si>
    <t>BC Dinamo București</t>
  </si>
  <si>
    <t>Gothia Basket</t>
  </si>
  <si>
    <t>Kärcher Hisings-Kärra</t>
  </si>
  <si>
    <t>Inpromservis Kyiv</t>
  </si>
  <si>
    <t>7up Joventut</t>
  </si>
  <si>
    <t>1993-94</t>
  </si>
  <si>
    <t>BC Vllaznia</t>
  </si>
  <si>
    <t>SÜBA Sankt Pölten</t>
  </si>
  <si>
    <t>RTI Minsk BC</t>
  </si>
  <si>
    <t>Belarus</t>
  </si>
  <si>
    <t>Achilleas BC</t>
  </si>
  <si>
    <t>USK Praha</t>
  </si>
  <si>
    <t>Tunsgram-Honvéd</t>
  </si>
  <si>
    <t>Keflavik BC</t>
  </si>
  <si>
    <t>Iceland</t>
  </si>
  <si>
    <t>Heroes Den Bosch</t>
  </si>
  <si>
    <t>Canoe Jeans EBBC</t>
  </si>
  <si>
    <t>Universitatea Cluj BC</t>
  </si>
  <si>
    <t>Basketbal Pezinok</t>
  </si>
  <si>
    <t>Maes Pils BC</t>
  </si>
  <si>
    <t>Shampoo Clear Cantù</t>
  </si>
  <si>
    <t>Guildford Kings</t>
  </si>
  <si>
    <t>1992-93</t>
  </si>
  <si>
    <t>BC Partizani Tirana</t>
  </si>
  <si>
    <t>Union SPI</t>
  </si>
  <si>
    <t>Union SPI Basket Flyers</t>
  </si>
  <si>
    <t>BC CSKA Sofia</t>
  </si>
  <si>
    <t>Czechoslovakia</t>
  </si>
  <si>
    <t>NMKY Helsinki</t>
  </si>
  <si>
    <t>ZTE KK</t>
  </si>
  <si>
    <t>ZTE Heraklith</t>
  </si>
  <si>
    <t>Etzella Ettelbruck</t>
  </si>
  <si>
    <t>Commodore Den Helder</t>
  </si>
  <si>
    <t>Scania Södertälje BC</t>
  </si>
  <si>
    <t>Fribourg Olympic</t>
  </si>
  <si>
    <t>Benetton Fribourg</t>
  </si>
  <si>
    <t>Knorr Bologna</t>
  </si>
  <si>
    <t>Marbella Joventut</t>
  </si>
  <si>
    <t>1991-92</t>
  </si>
  <si>
    <t>Montigalà Joventut</t>
  </si>
  <si>
    <t>Philips Milano</t>
  </si>
  <si>
    <t>Estudiantes Caja Postal</t>
  </si>
  <si>
    <t>Kingston BC</t>
  </si>
  <si>
    <t>Szolnoki Olajbányász</t>
  </si>
  <si>
    <t>UMFN</t>
  </si>
  <si>
    <t>Maccabi Rishon LeZion BC</t>
  </si>
  <si>
    <t>Union Sportive Hiefenech</t>
  </si>
  <si>
    <t>BC Steaua București</t>
  </si>
  <si>
    <t>Vevey Riviera Basket</t>
  </si>
  <si>
    <t>Vevey Basket</t>
  </si>
  <si>
    <t>Slobodna Dalmacija</t>
  </si>
  <si>
    <t>Aris BC</t>
  </si>
  <si>
    <t>JuveCaserta Basket</t>
  </si>
  <si>
    <t>Phonola Caserta</t>
  </si>
  <si>
    <t>1990-91</t>
  </si>
  <si>
    <t>FIBA European Champions Cup</t>
  </si>
  <si>
    <t>POP 84</t>
  </si>
  <si>
    <t>Korihait</t>
  </si>
  <si>
    <t>Saab UU</t>
  </si>
  <si>
    <t>Soviet Union</t>
  </si>
  <si>
    <t>Klosterneuburg Dukes</t>
  </si>
  <si>
    <t>Klosterneuburg</t>
  </si>
  <si>
    <t>ENAD BC</t>
  </si>
  <si>
    <t>Zbrojovka Brno</t>
  </si>
  <si>
    <t>AdW Berlin</t>
  </si>
  <si>
    <t>East Germany</t>
  </si>
  <si>
    <t>KR Basket</t>
  </si>
  <si>
    <t>KKS Lech Poznań</t>
  </si>
  <si>
    <t>Pully Lausanne Foxes</t>
  </si>
  <si>
    <t>Ideal Job Pully</t>
  </si>
  <si>
    <t>1989-90</t>
  </si>
  <si>
    <t>Jugoplastika</t>
  </si>
  <si>
    <t>BC Balkan Botevgrad</t>
  </si>
  <si>
    <t>Baník Cigel Prievidza</t>
  </si>
  <si>
    <t>Bracknell Tigers</t>
  </si>
  <si>
    <t>MIM Livingston</t>
  </si>
  <si>
    <t>Scotland</t>
  </si>
  <si>
    <t>Stroitel Kyiv</t>
  </si>
  <si>
    <t>Pully Basket</t>
  </si>
  <si>
    <t>Keravnos BC</t>
  </si>
  <si>
    <t>BBK BMS</t>
  </si>
  <si>
    <t>Denmark</t>
  </si>
  <si>
    <t>Medi Bayreuth</t>
  </si>
  <si>
    <t>Steiner Bayreuth</t>
  </si>
  <si>
    <t>Csepel BC</t>
  </si>
  <si>
    <t>Täby Basket</t>
  </si>
  <si>
    <t>Eczacıbaşı SK</t>
  </si>
  <si>
    <t>1988-89</t>
  </si>
  <si>
    <t>BSC Saturn Köln</t>
  </si>
  <si>
    <t>Södertälje BBK</t>
  </si>
  <si>
    <t>Nashua EBBC</t>
  </si>
  <si>
    <t>AEL Limassol BC</t>
  </si>
  <si>
    <t>AB Contern</t>
  </si>
  <si>
    <t>Asker Aliens BC</t>
  </si>
  <si>
    <t>Norway</t>
  </si>
  <si>
    <t>Champel Genève</t>
  </si>
  <si>
    <t>1987-88</t>
  </si>
  <si>
    <t>Tracer Milano</t>
  </si>
  <si>
    <t>BC Körmend</t>
  </si>
  <si>
    <t>Körmendi Dózsa</t>
  </si>
  <si>
    <t>Élan Béarnais Orthez</t>
  </si>
  <si>
    <t>Portsmouth Basketball</t>
  </si>
  <si>
    <t>Sparta Bertrange</t>
  </si>
  <si>
    <t>1986-87</t>
  </si>
  <si>
    <t>Maccabi Elite Tel Aviv</t>
  </si>
  <si>
    <t>1985-86</t>
  </si>
  <si>
    <t>1984-85</t>
  </si>
  <si>
    <t>Real Madrid</t>
  </si>
  <si>
    <t>1983-84</t>
  </si>
  <si>
    <t>Banco di Roma</t>
  </si>
  <si>
    <t>FC Barcelona</t>
  </si>
  <si>
    <t>1982-83</t>
  </si>
  <si>
    <t>Ford Cantù</t>
  </si>
  <si>
    <t>Billy Milano</t>
  </si>
  <si>
    <t>1981-82</t>
  </si>
  <si>
    <t>Squibb Cantù</t>
  </si>
  <si>
    <t>1980-81</t>
  </si>
  <si>
    <t>Sinudyne Bologna</t>
  </si>
  <si>
    <t>1979-80</t>
  </si>
  <si>
    <t>KK Bosna</t>
  </si>
  <si>
    <t>1978-79</t>
  </si>
  <si>
    <t>Emerson Varese</t>
  </si>
  <si>
    <t>1977-78</t>
  </si>
  <si>
    <t>Mobilgirgi Varese</t>
  </si>
  <si>
    <t>1976-77</t>
  </si>
  <si>
    <t>1975-76</t>
  </si>
  <si>
    <t>1974-75</t>
  </si>
  <si>
    <t>Ignis Varese</t>
  </si>
  <si>
    <t>1973-74</t>
  </si>
  <si>
    <t>1972-73</t>
  </si>
  <si>
    <t>1971-72</t>
  </si>
  <si>
    <t>1970-71</t>
  </si>
  <si>
    <t>1969-70</t>
  </si>
  <si>
    <t>1968-69</t>
  </si>
  <si>
    <t>1967-68</t>
  </si>
  <si>
    <t>Basket Brno</t>
  </si>
  <si>
    <t>Spartak ZJŠ Brno</t>
  </si>
  <si>
    <t>1966-67</t>
  </si>
  <si>
    <t>Simmenthal Milano</t>
  </si>
  <si>
    <t>1965-66</t>
  </si>
  <si>
    <t>Slavia VŠ Praha</t>
  </si>
  <si>
    <t>1964-65</t>
  </si>
  <si>
    <t>1963-64</t>
  </si>
  <si>
    <t>1962-63</t>
  </si>
  <si>
    <t>BC Dinamo Tbilisi</t>
  </si>
  <si>
    <t>1961-62</t>
  </si>
  <si>
    <t>Dinamo Tbilisi</t>
  </si>
  <si>
    <t>1960-61</t>
  </si>
  <si>
    <t>Rīgas ASK</t>
  </si>
  <si>
    <t>1959-60</t>
  </si>
  <si>
    <t>1958-59</t>
  </si>
  <si>
    <t>PBC Academic</t>
  </si>
  <si>
    <t>Academic</t>
  </si>
  <si>
    <t>1957-58</t>
  </si>
  <si>
    <t>FC Barcelona Basquet</t>
  </si>
  <si>
    <t>Bamberg Baskets</t>
  </si>
  <si>
    <t>KK Cedevita</t>
  </si>
  <si>
    <t>Mens Sana Basketball Siena</t>
  </si>
  <si>
    <t>Doncaster Belles</t>
  </si>
  <si>
    <t>Red Star Southampton</t>
  </si>
  <si>
    <t>Arsenal</t>
  </si>
  <si>
    <t>Liverpool</t>
  </si>
  <si>
    <t>Fulham</t>
  </si>
  <si>
    <t>Bristol Academy</t>
  </si>
  <si>
    <t>Híspalis</t>
  </si>
  <si>
    <t>Score</t>
  </si>
  <si>
    <t>1. FFC Frankfurt</t>
  </si>
  <si>
    <t>2–0</t>
  </si>
  <si>
    <t>4–1 / 3–0</t>
  </si>
  <si>
    <t>Fortuna Hjørring</t>
  </si>
  <si>
    <t>3–0 / 5–0</t>
  </si>
  <si>
    <t>Turbine Potsdam</t>
  </si>
  <si>
    <t>2–0 / 3–1</t>
  </si>
  <si>
    <t>Djurgården/Älvsjö</t>
  </si>
  <si>
    <t>4–0 / 3–2</t>
  </si>
  <si>
    <t>1–0 / 0–0</t>
  </si>
  <si>
    <t>1–1 / 3–2</t>
  </si>
  <si>
    <t>FCR Duisburg</t>
  </si>
  <si>
    <t>6–0 / 1–1</t>
  </si>
  <si>
    <t>Zvezda Perm</t>
  </si>
  <si>
    <t>0–0 (pens)</t>
  </si>
  <si>
    <t>1–0</t>
  </si>
  <si>
    <t>4–3</t>
  </si>
  <si>
    <t>2–1</t>
  </si>
  <si>
    <t>1–1 (pens)</t>
  </si>
  <si>
    <t>4–1</t>
  </si>
  <si>
    <t>3–1</t>
  </si>
  <si>
    <t>4–0</t>
  </si>
  <si>
    <t>3–2</t>
  </si>
  <si>
    <t>3–1 (a.e.t.)</t>
  </si>
  <si>
    <t>3–0</t>
  </si>
  <si>
    <t>3–2 (a.e.t.)</t>
  </si>
  <si>
    <t>Portland Thorns FC</t>
  </si>
  <si>
    <t>Western New York Flash</t>
  </si>
  <si>
    <t>FC Kansas City</t>
  </si>
  <si>
    <t>Seattle Reign FC</t>
  </si>
  <si>
    <t>North Carolina Courage</t>
  </si>
  <si>
    <t>Washington Spirit</t>
  </si>
  <si>
    <t>NJ/NY Gotham FC</t>
  </si>
  <si>
    <t>San Diego Wave FC</t>
  </si>
  <si>
    <t>Orlando Pride</t>
  </si>
  <si>
    <t>Kansas City Current</t>
  </si>
  <si>
    <t>Southampton</t>
  </si>
  <si>
    <t>Stewarton Thistle</t>
  </si>
  <si>
    <t>Lee's Ladies</t>
  </si>
  <si>
    <t>Westthorn United</t>
  </si>
  <si>
    <t>Fodens</t>
  </si>
  <si>
    <t>4–2</t>
  </si>
  <si>
    <t>Warminster</t>
  </si>
  <si>
    <t>2–1 (a.e.t.)</t>
  </si>
  <si>
    <t>8–2</t>
  </si>
  <si>
    <t>Lowestoft Ladies</t>
  </si>
  <si>
    <t>St Helens</t>
  </si>
  <si>
    <t>Preston North End</t>
  </si>
  <si>
    <t>Cleveland Spartans</t>
  </si>
  <si>
    <t>Howbury Grange</t>
  </si>
  <si>
    <t>Friends of Fulham</t>
  </si>
  <si>
    <t>Leasowe Pacific</t>
  </si>
  <si>
    <t>Millwall Lionesses</t>
  </si>
  <si>
    <t>Knowsley United</t>
  </si>
  <si>
    <t>1–1 (3–2 p)</t>
  </si>
  <si>
    <t>Southampton Saints</t>
  </si>
  <si>
    <t>5–0</t>
  </si>
  <si>
    <t>2–2 (3–2 p)</t>
  </si>
  <si>
    <t>Portland Thorns</t>
  </si>
  <si>
    <t>OL Reign</t>
  </si>
  <si>
    <t>Gotham FC</t>
  </si>
  <si>
    <t>Country</t>
  </si>
  <si>
    <t>Winner / Champion</t>
  </si>
  <si>
    <t>Runner-up / Finalist</t>
  </si>
  <si>
    <t>UEFA Women's Champions League</t>
  </si>
  <si>
    <t>Europe</t>
  </si>
  <si>
    <t>Women's FA Cup</t>
  </si>
  <si>
    <t>United States</t>
  </si>
  <si>
    <t>Levante UD Femenino</t>
  </si>
  <si>
    <t>Athletic Bilbao Femenino</t>
  </si>
  <si>
    <t>RCD Espanyol Femeni</t>
  </si>
  <si>
    <t>FC Barcelona Femeni</t>
  </si>
  <si>
    <t>Atlético de Madrid Femenino</t>
  </si>
  <si>
    <t>Eintracht Frankfurt (women)</t>
  </si>
  <si>
    <t>Arsenal Women</t>
  </si>
  <si>
    <t>Olympique Lyonnais Féminin</t>
  </si>
  <si>
    <t>VfL Wolfsburg (women)</t>
  </si>
  <si>
    <t>Everton Women</t>
  </si>
  <si>
    <t>Liverpool Women</t>
  </si>
  <si>
    <t>Chelsea Women</t>
  </si>
  <si>
    <t>Manchester City Women</t>
  </si>
  <si>
    <t>Southampton Women</t>
  </si>
  <si>
    <t>Charlton Athletic Women</t>
  </si>
  <si>
    <t>Birmingham City Women</t>
  </si>
  <si>
    <t>Manchester United Women</t>
  </si>
  <si>
    <t>Puebla (women)</t>
  </si>
  <si>
    <t>Real Madrid Femenino</t>
  </si>
  <si>
    <t>Real Sociedad Femenino</t>
  </si>
  <si>
    <t>Djurgårdens IF (women)</t>
  </si>
  <si>
    <t>Paris Saint-Germain Féminines</t>
  </si>
  <si>
    <t>Sunderland Women</t>
  </si>
  <si>
    <t>West Ham United Women</t>
  </si>
  <si>
    <t>Tottenham Hotspur Women</t>
  </si>
  <si>
    <t>Brighton &amp; Hove Albion Women</t>
  </si>
  <si>
    <t>Umeå IK</t>
  </si>
  <si>
    <t>Tyresö FF</t>
  </si>
  <si>
    <t>Winner (Canonical)</t>
  </si>
  <si>
    <t>Runner-up (Canonical)</t>
  </si>
  <si>
    <t>Rayo Vallecano Femenino</t>
  </si>
  <si>
    <t>CE Sabadell (women)</t>
  </si>
  <si>
    <t>Sevilla FC Femenino</t>
  </si>
  <si>
    <t>Croydon LFC</t>
  </si>
  <si>
    <t>Fulham Women</t>
  </si>
  <si>
    <t>Leeds United Women</t>
  </si>
  <si>
    <t>Notts County Women</t>
  </si>
  <si>
    <t>London Bees</t>
  </si>
  <si>
    <t>Wembley Ladies</t>
  </si>
  <si>
    <t>Queen's Park Rangers Women</t>
  </si>
  <si>
    <t>Norwich City Women</t>
  </si>
  <si>
    <t>WSL / Premier League</t>
  </si>
  <si>
    <t>Primera División / Liga F</t>
  </si>
  <si>
    <t>NWSL Shield</t>
  </si>
  <si>
    <t>NWSL Championship</t>
  </si>
  <si>
    <t>Canonical Name</t>
  </si>
  <si>
    <t>FIFA Women's Champions Cup</t>
  </si>
  <si>
    <t>Corinthians (women)</t>
  </si>
  <si>
    <t>Las Vegas Aces</t>
  </si>
  <si>
    <t>Phoenix Mercury</t>
  </si>
  <si>
    <t>New York Liberty</t>
  </si>
  <si>
    <t>Minnesota Lynx</t>
  </si>
  <si>
    <t>Connecticut Sun</t>
  </si>
  <si>
    <t>Chicago Sky</t>
  </si>
  <si>
    <t>Seattle Storm</t>
  </si>
  <si>
    <t>Washington Mystics</t>
  </si>
  <si>
    <t>Los Angeles Sparks</t>
  </si>
  <si>
    <t>Indiana Fever</t>
  </si>
  <si>
    <t>Atlanta Dream</t>
  </si>
  <si>
    <t>Detroit Shock</t>
  </si>
  <si>
    <t>San Antonio Silver Stars</t>
  </si>
  <si>
    <t>Sacramento Monarchs</t>
  </si>
  <si>
    <t>Charlotte Sting</t>
  </si>
  <si>
    <t>Houston Comets</t>
  </si>
  <si>
    <t>Conference</t>
  </si>
  <si>
    <t>W/L%</t>
  </si>
  <si>
    <t>GB</t>
  </si>
  <si>
    <t>PS/G</t>
  </si>
  <si>
    <t>East</t>
  </si>
  <si>
    <t>West</t>
  </si>
  <si>
    <t>Golden State Valkyries</t>
  </si>
  <si>
    <t>Dallas Wings</t>
  </si>
  <si>
    <t>San Antonio Stars</t>
  </si>
  <si>
    <t>Tulsa Shock</t>
  </si>
  <si>
    <t>Cleveland Rockers</t>
  </si>
  <si>
    <t>Orlando Miracle</t>
  </si>
  <si>
    <t>Miami Sol</t>
  </si>
  <si>
    <t>Utah Starzz</t>
  </si>
  <si>
    <t>Portland Fire</t>
  </si>
  <si>
    <t>PF/G</t>
  </si>
  <si>
    <t>Champ</t>
  </si>
  <si>
    <t>SF App</t>
  </si>
  <si>
    <t>P. Wins</t>
  </si>
  <si>
    <t>P. Losses</t>
  </si>
  <si>
    <t>Champ App</t>
  </si>
  <si>
    <t>Div Title</t>
  </si>
  <si>
    <t>Best Rec</t>
  </si>
  <si>
    <t>Toronto Tempo</t>
  </si>
  <si>
    <t>Current Teams</t>
  </si>
  <si>
    <t>Defunct Teams</t>
  </si>
  <si>
    <t>San Diego FC</t>
  </si>
  <si>
    <t>St. Louis City SC</t>
  </si>
  <si>
    <t>Charlotte FC</t>
  </si>
  <si>
    <t>Austin FC</t>
  </si>
  <si>
    <t>Nashville SC</t>
  </si>
  <si>
    <t>Inter Miami CF</t>
  </si>
  <si>
    <t>FC Cincinnati</t>
  </si>
  <si>
    <t>Los Angeles FC</t>
  </si>
  <si>
    <t>Minnesota United</t>
  </si>
  <si>
    <t>Atlanta United</t>
  </si>
  <si>
    <t>New York City FC</t>
  </si>
  <si>
    <t>Portland Timbers</t>
  </si>
  <si>
    <t>Philadelphia Union</t>
  </si>
  <si>
    <t>Seattle Sounders FC</t>
  </si>
  <si>
    <t>Toronto FC</t>
  </si>
  <si>
    <t>Houston Dynamo</t>
  </si>
  <si>
    <t>Chicago Fire</t>
  </si>
  <si>
    <t>San Jose Earthquakes</t>
  </si>
  <si>
    <t>Columbus Crew</t>
  </si>
  <si>
    <t>New York Red Bulls</t>
  </si>
  <si>
    <t>Sporting Kansas City</t>
  </si>
  <si>
    <t>DC United</t>
  </si>
  <si>
    <t>Los Angeles Galaxy</t>
  </si>
  <si>
    <t>Mexico</t>
  </si>
  <si>
    <t>Monterrey</t>
  </si>
  <si>
    <t>CF América</t>
  </si>
  <si>
    <t>Chivas Guadalajara</t>
  </si>
  <si>
    <t>Atlético de Madrid</t>
  </si>
  <si>
    <t>Sevilla FC</t>
  </si>
  <si>
    <t>FC Porto</t>
  </si>
  <si>
    <t>Benfica</t>
  </si>
  <si>
    <t>Juventus</t>
  </si>
  <si>
    <t>Internazionale</t>
  </si>
  <si>
    <t>Atalanta</t>
  </si>
  <si>
    <t>Sportico, World's 50 Most Valuable Soccer Teams 2026 (Apr 22, 2026)</t>
  </si>
  <si>
    <t>Lazio</t>
  </si>
  <si>
    <t>AC Milan</t>
  </si>
  <si>
    <t>AS Roma</t>
  </si>
  <si>
    <t>RB Leipzig</t>
  </si>
  <si>
    <t>Olympique Lyonnais</t>
  </si>
  <si>
    <t>SSC Napoli</t>
  </si>
  <si>
    <t>AFC Bournemouth</t>
  </si>
  <si>
    <t>Sunderland</t>
  </si>
  <si>
    <t>Leeds United</t>
  </si>
  <si>
    <t>Brentford</t>
  </si>
  <si>
    <t>Borussia Dortmund</t>
  </si>
  <si>
    <t>Eintracht Frankfurt</t>
  </si>
  <si>
    <t>Crystal Palace</t>
  </si>
  <si>
    <t>Ajax</t>
  </si>
  <si>
    <t>Bayern Munich</t>
  </si>
  <si>
    <t>Paris Saint-Germain</t>
  </si>
  <si>
    <t>Brighton &amp; Hove Albion</t>
  </si>
  <si>
    <t>West Ham United</t>
  </si>
  <si>
    <t>Everton</t>
  </si>
  <si>
    <t>Newcastle United</t>
  </si>
  <si>
    <t>Aston Villa</t>
  </si>
  <si>
    <t>Forbes (1998-2025), via fanancialsports.com</t>
  </si>
  <si>
    <t>MLB</t>
  </si>
  <si>
    <t>Miami Marlins</t>
  </si>
  <si>
    <t>Tampa Bay Rays</t>
  </si>
  <si>
    <t>NHL</t>
  </si>
  <si>
    <t>Columbus Blue Jackets</t>
  </si>
  <si>
    <t>Tottenham Hotspur</t>
  </si>
  <si>
    <t>Kansas City Royals</t>
  </si>
  <si>
    <t>Buffalo Sabres</t>
  </si>
  <si>
    <t>Chelsea</t>
  </si>
  <si>
    <t>Cincinnati Reds</t>
  </si>
  <si>
    <t>Winnipeg Jets</t>
  </si>
  <si>
    <t>Pittsburgh Pirates</t>
  </si>
  <si>
    <t>Ottawa Senators</t>
  </si>
  <si>
    <t>Manchester United</t>
  </si>
  <si>
    <t>Anaheim Ducks</t>
  </si>
  <si>
    <t>Manchester City</t>
  </si>
  <si>
    <t>Cleveland Guardians</t>
  </si>
  <si>
    <t>Utah Mammoth</t>
  </si>
  <si>
    <t>Colorado Rockies</t>
  </si>
  <si>
    <t>San Jose Sharks</t>
  </si>
  <si>
    <t>Minnesota Twins</t>
  </si>
  <si>
    <t>Vegas Golden Knights</t>
  </si>
  <si>
    <t>St. Louis Blues</t>
  </si>
  <si>
    <t>Seattle Kraken</t>
  </si>
  <si>
    <t>Detroit Tigers</t>
  </si>
  <si>
    <t>Nashville Predators</t>
  </si>
  <si>
    <t>Los Angeles Kings</t>
  </si>
  <si>
    <t>Arizona Diamondbacks</t>
  </si>
  <si>
    <t>Florida Panthers</t>
  </si>
  <si>
    <t>Milwaukee Brewers</t>
  </si>
  <si>
    <t>Minnesota Wild</t>
  </si>
  <si>
    <t>Pittsburgh Penguins</t>
  </si>
  <si>
    <t>Dallas Stars</t>
  </si>
  <si>
    <t>Colorado Avalanche</t>
  </si>
  <si>
    <t>Athletics</t>
  </si>
  <si>
    <t>Chicago Blackhawks</t>
  </si>
  <si>
    <t>Vancouver Canucks</t>
  </si>
  <si>
    <t>Edmonton Oilers</t>
  </si>
  <si>
    <t>Calgary Flames</t>
  </si>
  <si>
    <t>Baltimore Orioles</t>
  </si>
  <si>
    <t>Washington Capitals</t>
  </si>
  <si>
    <t>San Diego Padres</t>
  </si>
  <si>
    <t>Carolina Hurricanes</t>
  </si>
  <si>
    <t>Philadelphia Flyers</t>
  </si>
  <si>
    <t>Chicago White Sox</t>
  </si>
  <si>
    <t>New York Rangers</t>
  </si>
  <si>
    <t>Tampa Bay Lightning</t>
  </si>
  <si>
    <t>New York Islanders</t>
  </si>
  <si>
    <t>New Jersey Devils</t>
  </si>
  <si>
    <t>Washington Nationals</t>
  </si>
  <si>
    <t>Toronto Blue Jays</t>
  </si>
  <si>
    <t>Detroit Red Wings</t>
  </si>
  <si>
    <t>Seattle Mariners</t>
  </si>
  <si>
    <t>Boston Bruins</t>
  </si>
  <si>
    <t>Toronto Maple Leafs</t>
  </si>
  <si>
    <t>Texas Rangers</t>
  </si>
  <si>
    <t>Montreal Canadiens</t>
  </si>
  <si>
    <t>NBA</t>
  </si>
  <si>
    <t>San Antonio Spurs</t>
  </si>
  <si>
    <t>New Orleans Pelicans</t>
  </si>
  <si>
    <t>St. Louis Cardinals</t>
  </si>
  <si>
    <t>Memphis Grizzlies</t>
  </si>
  <si>
    <t>Houston Rockets</t>
  </si>
  <si>
    <t>Los Angeles Angels</t>
  </si>
  <si>
    <t>Dallas Mavericks</t>
  </si>
  <si>
    <t>Sacramento Kings</t>
  </si>
  <si>
    <t>Houston Astros</t>
  </si>
  <si>
    <t>Phoenix Suns</t>
  </si>
  <si>
    <t>Los Angeles Lakers</t>
  </si>
  <si>
    <t>Atlanta Braves</t>
  </si>
  <si>
    <t>Los Angeles Clippers</t>
  </si>
  <si>
    <t>Golden State Warriors</t>
  </si>
  <si>
    <t>Philadelphia Phillies</t>
  </si>
  <si>
    <t>Utah Jazz</t>
  </si>
  <si>
    <t>Portland Trail Blazers</t>
  </si>
  <si>
    <t>New York Mets</t>
  </si>
  <si>
    <t>Oklahoma City Thunder</t>
  </si>
  <si>
    <t>Minnesota Timberwolves</t>
  </si>
  <si>
    <t>Denver Nuggets</t>
  </si>
  <si>
    <t>Washington Wizards</t>
  </si>
  <si>
    <t>Orlando Magic</t>
  </si>
  <si>
    <t>Miami Heat</t>
  </si>
  <si>
    <t>Detroit Pistons</t>
  </si>
  <si>
    <t>Charlotte Hornets</t>
  </si>
  <si>
    <t>Atlanta Hawks</t>
  </si>
  <si>
    <t>Milwaukee Bucks</t>
  </si>
  <si>
    <t>Indiana Pacers</t>
  </si>
  <si>
    <t>San Francisco Giants</t>
  </si>
  <si>
    <t>Cleveland Cavaliers</t>
  </si>
  <si>
    <t>Chicago Bulls</t>
  </si>
  <si>
    <t>Philadelphia 76ers</t>
  </si>
  <si>
    <t>New York Knicks</t>
  </si>
  <si>
    <t>Brooklyn Nets</t>
  </si>
  <si>
    <t>Boston Celtics</t>
  </si>
  <si>
    <t>Toronto Raptors</t>
  </si>
  <si>
    <t>Los Angeles Dodgers</t>
  </si>
  <si>
    <t>Chicago Cubs</t>
  </si>
  <si>
    <t>Boston Red Sox</t>
  </si>
  <si>
    <t>NFL</t>
  </si>
  <si>
    <t>Cincinnati Bengals</t>
  </si>
  <si>
    <t>New Orleans Saints</t>
  </si>
  <si>
    <t>Detroit Lions</t>
  </si>
  <si>
    <t>Arizona Cardinals</t>
  </si>
  <si>
    <t>Jacksonville Jaguars</t>
  </si>
  <si>
    <t>Carolina Panthers</t>
  </si>
  <si>
    <t>New York Yankees</t>
  </si>
  <si>
    <t>Indianapolis Colts</t>
  </si>
  <si>
    <t>Buffalo Bills</t>
  </si>
  <si>
    <t>Los Angeles Chargers</t>
  </si>
  <si>
    <t>Baltimore Ravens</t>
  </si>
  <si>
    <t>Seattle Seahawks</t>
  </si>
  <si>
    <t>Kansas City Chiefs</t>
  </si>
  <si>
    <t>San Francisco 49ers</t>
  </si>
  <si>
    <t>Minnesota Vikings</t>
  </si>
  <si>
    <t>Los Angeles Rams</t>
  </si>
  <si>
    <t>Tennessee Titans</t>
  </si>
  <si>
    <t>Atlanta Falcons</t>
  </si>
  <si>
    <t>Tampa Bay Buccaneers</t>
  </si>
  <si>
    <t>Cleveland Browns</t>
  </si>
  <si>
    <t>Pittsburgh Steelers</t>
  </si>
  <si>
    <t>Green Bay Packers</t>
  </si>
  <si>
    <t>Chicago Bears</t>
  </si>
  <si>
    <t>Washington Commanders</t>
  </si>
  <si>
    <t>Denver Broncos</t>
  </si>
  <si>
    <t>Philadelphia Eagles</t>
  </si>
  <si>
    <t>New York Giants</t>
  </si>
  <si>
    <t>Houston Texans</t>
  </si>
  <si>
    <t>Dallas Cowboys</t>
  </si>
  <si>
    <t>Miami Dolphins</t>
  </si>
  <si>
    <t>Las Vegas Raiders</t>
  </si>
  <si>
    <t>New York Jets</t>
  </si>
  <si>
    <t>New England Patriots</t>
  </si>
  <si>
    <t>Source</t>
  </si>
  <si>
    <t>Value ($M)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</si>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</sst>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;\-0.0;&quot;-&quot;"/>
    <numFmt numFmtId="167" formatCode="0;\-0;&quot;&quot;"/>
    <numFmt numFmtId="168" formatCode="&quot;$&quot;#,##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8"/>
      <name val="Arial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/>
    <xf numFmtId="0" fontId="6" fillId="0" borderId="0" xfId="2" applyFont="1"/>
    <xf numFmtId="0" fontId="7" fillId="0" borderId="0" xfId="3" applyFont="1"/>
    <xf numFmtId="1" fontId="6" fillId="0" borderId="0" xfId="2" applyNumberFormat="1" applyFont="1"/>
    <xf numFmtId="0" fontId="1" fillId="0" borderId="0" xfId="3"/>
    <xf numFmtId="164" fontId="1" fillId="0" borderId="0" xfId="3" applyNumberFormat="1"/>
    <xf numFmtId="0" fontId="8" fillId="0" borderId="0" xfId="2" applyFont="1"/>
    <xf numFmtId="1" fontId="8" fillId="0" borderId="0" xfId="2" applyNumberFormat="1" applyFont="1"/>
    <xf numFmtId="164" fontId="3" fillId="0" borderId="0" xfId="3" applyNumberFormat="1" applyFont="1"/>
    <xf numFmtId="0" fontId="5" fillId="0" borderId="0" xfId="3" applyFont="1"/>
    <xf numFmtId="164" fontId="2" fillId="0" borderId="0" xfId="3" applyNumberFormat="1" applyFont="1"/>
    <xf numFmtId="0" fontId="1" fillId="0" borderId="0" xfId="4"/>
    <xf numFmtId="0" fontId="1" fillId="0" borderId="0" xfId="5"/>
    <xf numFmtId="0" fontId="3" fillId="0" borderId="0" xfId="3" applyFont="1"/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2" borderId="0" xfId="0" applyFont="1" applyFill="1"/>
    <xf numFmtId="0" fontId="9" fillId="3" borderId="0" xfId="0" applyFont="1" applyFill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9" fillId="4" borderId="0" xfId="0" applyFont="1" applyFill="1"/>
    <xf numFmtId="0" fontId="0" fillId="0" borderId="0" xfId="0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9" fillId="4" borderId="0" xfId="0" applyFont="1" applyFill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/>
    <xf numFmtId="0" fontId="5" fillId="0" borderId="0" xfId="0" applyFont="1"/>
    <xf numFmtId="168" fontId="5" fillId="0" borderId="0" xfId="0" applyNumberFormat="1" applyFont="1"/>
    <xf numFmtId="1" fontId="5" fillId="0" borderId="0" xfId="0" applyNumberFormat="1" applyFont="1"/>
    <xf numFmtId="0" fontId="12" fillId="5" borderId="0" xfId="0" applyFont="1" applyFill="1" applyAlignment="1">
      <alignment horizontal="center" vertical="center"/>
    </xf>
    <xf numFmtId="168" fontId="12" fillId="5" borderId="0" xfId="0" applyNumberFormat="1" applyFont="1" applyFill="1" applyAlignment="1">
      <alignment horizontal="center" vertical="center"/>
    </xf>
  </cellXfs>
  <cellStyles count="6">
    <cellStyle name="Normal" xfId="0" builtinId="0"/>
    <cellStyle name="Normal 2" xfId="1" xr:uid="{B560BFAF-D18F-4306-BDA0-92C1F250FE30}"/>
    <cellStyle name="Normal 3" xfId="2" xr:uid="{311BC824-B14B-47AD-9CDB-F83E0229D4E8}"/>
    <cellStyle name="Normal 4" xfId="3" xr:uid="{7E7D8877-39C6-44EE-BD6F-C861A9DB004A}"/>
    <cellStyle name="Normal 4 2 2" xfId="4" xr:uid="{BD70F4BD-1041-4F5E-8D4E-8460FB829C1B}"/>
    <cellStyle name="Normal 5 2" xfId="5" xr:uid="{A1C6D3C4-89AA-452B-BBF7-0BCAC747E87C}"/>
  </cellStyles>
  <dxfs count="22"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  <alignment horizontal="center"/>
    </dxf>
    <dxf>
      <font>
        <color rgb="FF000000"/>
      </font>
      <fill>
        <patternFill patternType="none"/>
      </fill>
    </dxf>
    <dxf>
      <numFmt numFmtId="1" formatCode="0"/>
      <alignment horizontal="center"/>
    </dxf>
    <dxf>
      <font>
        <b/>
      </font>
    </dxf>
    <dxf>
      <alignment horizontal="center"/>
    </dxf>
    <dxf>
      <numFmt numFmtId="0" formatCode="General"/>
      <alignment horizontal="left" vertical="bottom" textRotation="0" wrapText="0" justifyLastLine="0" shrinkToFit="0" readingOrder="0"/>
    </dxf>
    <dxf>
      <alignment horizontal="left" vertical="bottom" textRotation="0" wrapText="0" justifyLastLine="0" shrinkToFit="0" readingOrder="0"/>
    </dxf>
    <dxf>
      <alignment horizontal="left" vertical="bottom" textRotation="0" wrapText="0" justifyLastLine="0" shrinkToFit="0" readingOrder="0"/>
    </dxf>
    <dxf>
      <alignment horizontal="left" vertical="bottom" textRotation="0" wrapText="0" justifyLastLine="0" shrinkToFit="0" readingOrder="0"/>
    </dxf>
    <dxf>
      <numFmt numFmtId="167" formatCode="0;\-0;&quot;&quot;"/>
      <alignment horizontal="right" vertical="bottom" textRotation="0" wrapText="0" justifyLastLine="0" shrinkToFit="0" readingOrder="0"/>
    </dxf>
    <dxf>
      <numFmt numFmtId="167" formatCode="0;\-0;&quot;&quot;"/>
      <alignment horizontal="right" vertical="bottom" textRotation="0" wrapText="0" justifyLastLine="0" shrinkToFit="0" readingOrder="0"/>
    </dxf>
    <dxf>
      <alignment horizontal="left" vertical="bottom" textRotation="0" wrapText="0" justifyLastLine="0" shrinkToFit="0" readingOrder="0"/>
    </dxf>
    <dxf>
      <alignment horizontal="left" vertical="bottom" textRotation="0" wrapText="0" justifyLastLine="0" shrinkToFit="0" readingOrder="0"/>
    </dxf>
    <dxf>
      <numFmt numFmtId="165" formatCode="0.0"/>
    </dxf>
    <dxf>
      <numFmt numFmtId="165" formatCode="0.0"/>
    </dxf>
    <dxf>
      <numFmt numFmtId="166" formatCode="0.0;\-0.0;&quot;-&quot;"/>
    </dxf>
    <dxf>
      <numFmt numFmtId="164" formatCode="0.000"/>
    </dxf>
    <dxf>
      <numFmt numFmtId="1" formatCode="0"/>
    </dxf>
    <dxf>
      <numFmt numFmtId="1" formatCode="0"/>
    </dxf>
    <dxf>
      <numFmt numFmtId="1" formatCode="0"/>
    </dxf>
    <dxf>
      <font>
        <b/>
        <color rgb="FFFFFFFF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6F482DF-97AA-454E-BAD1-75677C085102}" name="IPL_Playoffs" displayName="IPL_Playoffs" ref="A1:E75" totalsRowShown="0">
  <autoFilter ref="A1:E75" xr:uid="{86F482DF-97AA-454E-BAD1-75677C085102}"/>
  <tableColumns count="5">
    <tableColumn id="1" xr3:uid="{C58EE559-71C9-4821-A034-6D478E0661A7}" name="Season" dataDxfId="5"/>
    <tableColumn id="2" xr3:uid="{27EB0664-B444-49A9-8C92-5B74A31AA528}" name="Round"/>
    <tableColumn id="3" xr3:uid="{6A64AD9A-4F0B-4A5E-8495-7DEDBF8A14AF}" name="Team 1"/>
    <tableColumn id="4" xr3:uid="{0DDE7C6C-F2C4-4FE5-8433-92A2F4CB8C0F}" name="Team 2"/>
    <tableColumn id="5" xr3:uid="{009AE626-D1DD-4174-B556-87A61966ED22}" name="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CBB4B5-A9AD-46F5-9D09-F391F046D486}" name="AllTitles" displayName="AllTitles" ref="A1:H169" totalsRowShown="0" headerRowDxfId="4">
  <sortState xmlns:xlrd2="http://schemas.microsoft.com/office/spreadsheetml/2017/richdata2" ref="A2:H166">
    <sortCondition ref="C2:C166"/>
    <sortCondition ref="B2:B166"/>
    <sortCondition ref="A2:A166"/>
  </sortState>
  <tableColumns count="8">
    <tableColumn id="1" xr3:uid="{339866B9-032B-4661-B14F-055D894E522C}" name="Competition"/>
    <tableColumn id="2" xr3:uid="{9D39483E-45AE-46A4-B27D-5D5E65D0253B}" name="Country"/>
    <tableColumn id="3" xr3:uid="{30ED349E-9467-4D73-A0CD-EDBE2080EFE9}" name="Season" dataDxfId="3"/>
    <tableColumn id="4" xr3:uid="{2F787727-9AB9-41FB-B6E0-772F54465350}" name="Winner / Champion" dataDxfId="2"/>
    <tableColumn id="5" xr3:uid="{5A0F5CCC-342B-4483-8FE1-960660A1D518}" name="Score" dataDxfId="1"/>
    <tableColumn id="6" xr3:uid="{0B694225-CA4F-4915-881A-6562899C281C}" name="Runner-up / Finalist" dataDxfId="0"/>
    <tableColumn id="7" xr3:uid="{F69B9C71-0672-4F47-92B3-565F391DC14E}" name="Winner (Canonical)"/>
    <tableColumn id="8" xr3:uid="{AE1A442D-954A-41DC-8C46-EE31079720D6}" name="Runner-up (Canonical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0F887C-1037-4B75-9623-19C8B7A4A31A}" name="WNBA_TeamSeasons" displayName="WNBA_TeamSeasons" ref="A3:R368" totalsRowShown="0" headerRowDxfId="21">
  <tableColumns count="18">
    <tableColumn id="1" xr3:uid="{F28C7DEA-C9E7-4F35-B004-C420296098DC}" name="Season" dataDxfId="20"/>
    <tableColumn id="2" xr3:uid="{7BC02741-807F-46F7-8F03-7AD21312BE0C}" name="Team"/>
    <tableColumn id="3" xr3:uid="{D04DB577-F9D9-43D7-8A6F-8DFAA53E2231}" name="Conference"/>
    <tableColumn id="4" xr3:uid="{0CF9A82C-D049-44FB-87BD-D5A7B2FCC3FA}" name="W" dataDxfId="19"/>
    <tableColumn id="5" xr3:uid="{192601A3-0258-4A57-967E-B26704E3800D}" name="L" dataDxfId="18"/>
    <tableColumn id="6" xr3:uid="{42876D25-BDE6-446D-A86B-97A8EC5F62E1}" name="W/L%" dataDxfId="17"/>
    <tableColumn id="7" xr3:uid="{6C4502A8-62B6-4922-84A6-8804C8628977}" name="GB" dataDxfId="16"/>
    <tableColumn id="8" xr3:uid="{9F348C01-B74D-467C-9650-E8A34C44154F}" name="PS/G" dataDxfId="15"/>
    <tableColumn id="9" xr3:uid="{5F99CAA0-CD98-4F68-9971-E4F1B7E51E5B}" name="PF/G" dataDxfId="14"/>
    <tableColumn id="10" xr3:uid="{39564B27-888A-4DE5-B0FB-B3C123946E2E}" name="Playoffs"/>
    <tableColumn id="17" xr3:uid="{F4F2DC32-5D46-49C8-8ADC-7ECFFDECCFB1}" name="Div Title" dataDxfId="13"/>
    <tableColumn id="11" xr3:uid="{6B96C401-B195-4825-B92C-D593763BDB65}" name="Best Rec" dataDxfId="12"/>
    <tableColumn id="12" xr3:uid="{25A91960-15F0-41C9-8618-BE34C59D1BD4}" name="P. Wins" dataDxfId="11"/>
    <tableColumn id="13" xr3:uid="{38421A24-860B-4744-80F7-9DF745F003A7}" name="P. Losses" dataDxfId="10"/>
    <tableColumn id="14" xr3:uid="{EA68CD07-B947-41F9-ABDE-1621D4E277DE}" name="SF App" dataDxfId="9"/>
    <tableColumn id="15" xr3:uid="{2F15E4CF-4270-4A3A-B576-CC802B38B5AB}" name="Champ App" dataDxfId="8"/>
    <tableColumn id="16" xr3:uid="{916355EE-5DDD-4372-A860-7D8EE39B8305}" name="Champ" dataDxfId="7"/>
    <tableColumn id="18" xr3:uid="{A79BA288-5143-4646-95FC-E5F9C9CA4260}" name="Canonical Name" dataDxfId="6">
      <calculatedColumnFormula>VLOOKUP(WNBA_TeamSeasons[[#This Row],[Team]],$Y$3:$Y$17,1,FALSE)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C958FE-6AB4-49E4-AFB4-C85B20F90C1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074ec2f-9c0c-4bf1-b5db-eddb1a9ad770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DBB7-8127-4C77-BBB1-3D632F66E723}">
  <dimension ref="A1:X167"/>
  <sheetViews>
    <sheetView workbookViewId="0">
      <selection activeCell="R6" sqref="R6"/>
    </sheetView>
  </sheetViews>
  <sheetFormatPr defaultRowHeight="15" x14ac:dyDescent="0.25"/>
  <cols>
    <col min="1" max="1" width="7.42578125" bestFit="1" customWidth="1"/>
    <col min="2" max="2" width="4.28515625" bestFit="1" customWidth="1"/>
    <col min="3" max="3" width="26.7109375" bestFit="1" customWidth="1"/>
    <col min="4" max="6" width="3" bestFit="1" customWidth="1"/>
    <col min="7" max="7" width="3.5703125" bestFit="1" customWidth="1"/>
    <col min="8" max="8" width="3.7109375" bestFit="1" customWidth="1"/>
    <col min="9" max="9" width="6.7109375" bestFit="1" customWidth="1"/>
    <col min="10" max="10" width="8" bestFit="1" customWidth="1"/>
    <col min="12" max="12" width="11.140625" style="1" bestFit="1" customWidth="1"/>
    <col min="13" max="13" width="26.7109375" bestFit="1" customWidth="1"/>
    <col min="14" max="14" width="7.42578125" bestFit="1" customWidth="1"/>
    <col min="15" max="15" width="11.7109375" bestFit="1" customWidth="1"/>
    <col min="16" max="16" width="23.5703125" bestFit="1" customWidth="1"/>
    <col min="21" max="21" width="30.5703125" bestFit="1" customWidth="1"/>
    <col min="22" max="22" width="13.7109375" bestFit="1" customWidth="1"/>
    <col min="23" max="23" width="26.42578125" bestFit="1" customWidth="1"/>
  </cols>
  <sheetData>
    <row r="1" spans="1:24" x14ac:dyDescent="0.25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40</v>
      </c>
      <c r="L1" s="1" t="s">
        <v>107</v>
      </c>
      <c r="M1" t="s">
        <v>28</v>
      </c>
      <c r="N1" t="s">
        <v>29</v>
      </c>
      <c r="O1" t="s">
        <v>128</v>
      </c>
      <c r="P1" t="s">
        <v>129</v>
      </c>
    </row>
    <row r="2" spans="1:24" ht="15.75" x14ac:dyDescent="0.25">
      <c r="A2">
        <v>2008</v>
      </c>
      <c r="B2">
        <v>1</v>
      </c>
      <c r="C2" t="s">
        <v>9</v>
      </c>
      <c r="D2">
        <v>14</v>
      </c>
      <c r="E2">
        <v>11</v>
      </c>
      <c r="F2">
        <v>3</v>
      </c>
      <c r="G2">
        <v>0</v>
      </c>
      <c r="H2">
        <v>22</v>
      </c>
      <c r="I2">
        <v>0.63200000000000001</v>
      </c>
      <c r="J2" t="s">
        <v>30</v>
      </c>
      <c r="K2" t="s">
        <v>30</v>
      </c>
      <c r="L2" s="1" t="s">
        <v>30</v>
      </c>
      <c r="M2" t="s">
        <v>9</v>
      </c>
      <c r="N2" t="s">
        <v>30</v>
      </c>
      <c r="O2" t="s">
        <v>122</v>
      </c>
      <c r="P2" t="s">
        <v>123</v>
      </c>
      <c r="U2" s="3"/>
      <c r="V2" s="3"/>
      <c r="W2" s="3"/>
      <c r="X2" s="3"/>
    </row>
    <row r="3" spans="1:24" ht="15.75" x14ac:dyDescent="0.25">
      <c r="A3">
        <v>2008</v>
      </c>
      <c r="B3">
        <v>2</v>
      </c>
      <c r="C3" t="s">
        <v>10</v>
      </c>
      <c r="D3">
        <v>14</v>
      </c>
      <c r="E3">
        <v>10</v>
      </c>
      <c r="F3">
        <v>4</v>
      </c>
      <c r="G3">
        <v>0</v>
      </c>
      <c r="H3">
        <v>20</v>
      </c>
      <c r="I3">
        <v>0.50900000000000001</v>
      </c>
      <c r="J3" t="s">
        <v>30</v>
      </c>
      <c r="K3" t="s">
        <v>108</v>
      </c>
      <c r="L3" s="1" t="s">
        <v>108</v>
      </c>
      <c r="M3" t="s">
        <v>23</v>
      </c>
      <c r="N3" t="s">
        <v>30</v>
      </c>
      <c r="O3" t="s">
        <v>121</v>
      </c>
      <c r="P3" t="s">
        <v>121</v>
      </c>
      <c r="U3" s="3"/>
      <c r="V3" s="3"/>
      <c r="W3" s="3"/>
      <c r="X3" s="3"/>
    </row>
    <row r="4" spans="1:24" ht="15.75" x14ac:dyDescent="0.25">
      <c r="A4">
        <v>2008</v>
      </c>
      <c r="B4">
        <v>3</v>
      </c>
      <c r="C4" t="s">
        <v>11</v>
      </c>
      <c r="D4">
        <v>14</v>
      </c>
      <c r="E4">
        <v>8</v>
      </c>
      <c r="F4">
        <v>6</v>
      </c>
      <c r="G4">
        <v>0</v>
      </c>
      <c r="H4">
        <v>16</v>
      </c>
      <c r="I4">
        <v>-0.192</v>
      </c>
      <c r="J4" t="s">
        <v>30</v>
      </c>
      <c r="K4" t="s">
        <v>30</v>
      </c>
      <c r="L4" s="1" t="s">
        <v>108</v>
      </c>
      <c r="M4" t="s">
        <v>11</v>
      </c>
      <c r="N4" t="s">
        <v>30</v>
      </c>
      <c r="O4" t="s">
        <v>109</v>
      </c>
      <c r="P4" t="s">
        <v>110</v>
      </c>
      <c r="U4" s="3"/>
      <c r="V4" s="3"/>
      <c r="W4" s="3"/>
      <c r="X4" s="3"/>
    </row>
    <row r="5" spans="1:24" ht="15.75" x14ac:dyDescent="0.25">
      <c r="A5">
        <v>2008</v>
      </c>
      <c r="B5">
        <v>4</v>
      </c>
      <c r="C5" t="s">
        <v>12</v>
      </c>
      <c r="D5">
        <v>14</v>
      </c>
      <c r="E5">
        <v>7</v>
      </c>
      <c r="F5">
        <v>6</v>
      </c>
      <c r="G5">
        <v>1</v>
      </c>
      <c r="H5">
        <v>15</v>
      </c>
      <c r="I5">
        <v>0.34200000000000003</v>
      </c>
      <c r="J5" t="s">
        <v>30</v>
      </c>
      <c r="K5" t="s">
        <v>108</v>
      </c>
      <c r="L5" s="1" t="s">
        <v>108</v>
      </c>
      <c r="M5" t="s">
        <v>22</v>
      </c>
      <c r="N5" t="s">
        <v>30</v>
      </c>
      <c r="O5" t="s">
        <v>111</v>
      </c>
      <c r="P5" t="s">
        <v>112</v>
      </c>
      <c r="U5" s="3"/>
      <c r="V5" s="3"/>
      <c r="W5" s="3"/>
      <c r="X5" s="3"/>
    </row>
    <row r="6" spans="1:24" ht="15.75" x14ac:dyDescent="0.25">
      <c r="A6">
        <v>2008</v>
      </c>
      <c r="B6">
        <v>5</v>
      </c>
      <c r="C6" t="s">
        <v>13</v>
      </c>
      <c r="D6">
        <v>14</v>
      </c>
      <c r="E6">
        <v>7</v>
      </c>
      <c r="F6">
        <v>7</v>
      </c>
      <c r="G6">
        <v>0</v>
      </c>
      <c r="H6">
        <v>14</v>
      </c>
      <c r="I6">
        <v>0.56999999999999995</v>
      </c>
      <c r="K6" t="s">
        <v>108</v>
      </c>
      <c r="L6" s="1" t="s">
        <v>108</v>
      </c>
      <c r="M6" t="s">
        <v>13</v>
      </c>
      <c r="N6" t="s">
        <v>30</v>
      </c>
      <c r="O6" t="s">
        <v>119</v>
      </c>
      <c r="P6" t="s">
        <v>120</v>
      </c>
      <c r="U6" s="3"/>
      <c r="V6" s="3"/>
      <c r="W6" s="3"/>
      <c r="X6" s="3"/>
    </row>
    <row r="7" spans="1:24" ht="15.75" x14ac:dyDescent="0.25">
      <c r="A7">
        <v>2008</v>
      </c>
      <c r="B7">
        <v>6</v>
      </c>
      <c r="C7" t="s">
        <v>14</v>
      </c>
      <c r="D7">
        <v>14</v>
      </c>
      <c r="E7">
        <v>6</v>
      </c>
      <c r="F7">
        <v>7</v>
      </c>
      <c r="G7">
        <v>1</v>
      </c>
      <c r="H7">
        <v>13</v>
      </c>
      <c r="I7">
        <v>-0.14699999999999999</v>
      </c>
      <c r="K7" t="s">
        <v>108</v>
      </c>
      <c r="L7" s="1" t="s">
        <v>108</v>
      </c>
      <c r="M7" t="s">
        <v>14</v>
      </c>
      <c r="N7" t="s">
        <v>30</v>
      </c>
      <c r="O7" t="s">
        <v>115</v>
      </c>
      <c r="P7" t="s">
        <v>116</v>
      </c>
      <c r="U7" s="3"/>
      <c r="V7" s="3"/>
      <c r="W7" s="3"/>
      <c r="X7" s="3"/>
    </row>
    <row r="8" spans="1:24" ht="15.75" x14ac:dyDescent="0.25">
      <c r="A8">
        <v>2008</v>
      </c>
      <c r="B8">
        <v>7</v>
      </c>
      <c r="C8" t="s">
        <v>15</v>
      </c>
      <c r="D8">
        <v>14</v>
      </c>
      <c r="E8">
        <v>4</v>
      </c>
      <c r="F8">
        <v>10</v>
      </c>
      <c r="G8">
        <v>0</v>
      </c>
      <c r="H8">
        <v>8</v>
      </c>
      <c r="I8">
        <v>-1.1599999999999999</v>
      </c>
      <c r="K8" t="s">
        <v>108</v>
      </c>
      <c r="L8" s="1" t="s">
        <v>108</v>
      </c>
      <c r="M8" t="s">
        <v>26</v>
      </c>
      <c r="N8" t="s">
        <v>30</v>
      </c>
      <c r="O8" t="s">
        <v>124</v>
      </c>
      <c r="P8" t="s">
        <v>125</v>
      </c>
      <c r="U8" s="3"/>
      <c r="V8" s="3"/>
      <c r="W8" s="3"/>
      <c r="X8" s="3"/>
    </row>
    <row r="9" spans="1:24" ht="15.75" x14ac:dyDescent="0.25">
      <c r="A9">
        <v>2008</v>
      </c>
      <c r="B9">
        <v>8</v>
      </c>
      <c r="C9" t="s">
        <v>16</v>
      </c>
      <c r="D9">
        <v>14</v>
      </c>
      <c r="E9">
        <v>2</v>
      </c>
      <c r="F9">
        <v>12</v>
      </c>
      <c r="G9">
        <v>0</v>
      </c>
      <c r="H9">
        <v>4</v>
      </c>
      <c r="I9">
        <v>-0.46700000000000003</v>
      </c>
      <c r="K9" t="s">
        <v>108</v>
      </c>
      <c r="L9" s="1" t="s">
        <v>108</v>
      </c>
      <c r="M9" t="s">
        <v>16</v>
      </c>
      <c r="N9" t="s">
        <v>31</v>
      </c>
      <c r="O9" t="s">
        <v>126</v>
      </c>
      <c r="P9" t="s">
        <v>127</v>
      </c>
      <c r="U9" s="3"/>
      <c r="V9" s="3"/>
      <c r="W9" s="3"/>
      <c r="X9" s="3"/>
    </row>
    <row r="10" spans="1:24" ht="15.75" x14ac:dyDescent="0.25">
      <c r="A10">
        <v>2009</v>
      </c>
      <c r="B10">
        <v>1</v>
      </c>
      <c r="C10" t="s">
        <v>12</v>
      </c>
      <c r="D10">
        <v>14</v>
      </c>
      <c r="E10">
        <v>10</v>
      </c>
      <c r="F10">
        <v>4</v>
      </c>
      <c r="G10">
        <v>0</v>
      </c>
      <c r="H10">
        <v>20</v>
      </c>
      <c r="I10">
        <v>0.311</v>
      </c>
      <c r="J10" t="s">
        <v>30</v>
      </c>
      <c r="K10" t="s">
        <v>108</v>
      </c>
      <c r="L10" s="1" t="s">
        <v>108</v>
      </c>
      <c r="M10" t="s">
        <v>22</v>
      </c>
      <c r="N10" t="s">
        <v>30</v>
      </c>
      <c r="O10" t="s">
        <v>111</v>
      </c>
      <c r="P10" t="s">
        <v>112</v>
      </c>
      <c r="U10" s="3"/>
      <c r="V10" s="3"/>
      <c r="W10" s="3"/>
      <c r="X10" s="3"/>
    </row>
    <row r="11" spans="1:24" ht="15.75" x14ac:dyDescent="0.25">
      <c r="A11">
        <v>2009</v>
      </c>
      <c r="B11">
        <v>2</v>
      </c>
      <c r="C11" t="s">
        <v>11</v>
      </c>
      <c r="D11">
        <v>14</v>
      </c>
      <c r="E11">
        <v>8</v>
      </c>
      <c r="F11">
        <v>5</v>
      </c>
      <c r="G11">
        <v>1</v>
      </c>
      <c r="H11">
        <v>17</v>
      </c>
      <c r="I11">
        <v>0.95099999999999996</v>
      </c>
      <c r="J11" t="s">
        <v>30</v>
      </c>
      <c r="K11" t="s">
        <v>108</v>
      </c>
      <c r="L11" s="1" t="s">
        <v>108</v>
      </c>
      <c r="M11" t="s">
        <v>11</v>
      </c>
      <c r="N11" t="s">
        <v>30</v>
      </c>
      <c r="O11" t="s">
        <v>109</v>
      </c>
      <c r="P11" t="s">
        <v>110</v>
      </c>
      <c r="U11" s="3"/>
      <c r="V11" s="3"/>
      <c r="W11" s="3"/>
      <c r="X11" s="3"/>
    </row>
    <row r="12" spans="1:24" ht="15.75" x14ac:dyDescent="0.25">
      <c r="A12">
        <v>2009</v>
      </c>
      <c r="B12">
        <v>3</v>
      </c>
      <c r="C12" t="s">
        <v>15</v>
      </c>
      <c r="D12">
        <v>14</v>
      </c>
      <c r="E12">
        <v>8</v>
      </c>
      <c r="F12">
        <v>6</v>
      </c>
      <c r="G12">
        <v>0</v>
      </c>
      <c r="H12">
        <v>16</v>
      </c>
      <c r="I12">
        <v>-0.191</v>
      </c>
      <c r="J12" t="s">
        <v>30</v>
      </c>
      <c r="K12" t="s">
        <v>30</v>
      </c>
      <c r="L12" s="1" t="s">
        <v>108</v>
      </c>
      <c r="M12" t="s">
        <v>26</v>
      </c>
      <c r="N12" t="s">
        <v>30</v>
      </c>
      <c r="O12" t="s">
        <v>124</v>
      </c>
      <c r="P12" t="s">
        <v>125</v>
      </c>
      <c r="V12" s="3"/>
      <c r="W12" s="3"/>
      <c r="X12" s="3"/>
    </row>
    <row r="13" spans="1:24" ht="15.75" x14ac:dyDescent="0.25">
      <c r="A13">
        <v>2009</v>
      </c>
      <c r="B13">
        <v>4</v>
      </c>
      <c r="C13" t="s">
        <v>16</v>
      </c>
      <c r="D13">
        <v>14</v>
      </c>
      <c r="E13">
        <v>7</v>
      </c>
      <c r="F13">
        <v>7</v>
      </c>
      <c r="G13">
        <v>0</v>
      </c>
      <c r="H13">
        <v>14</v>
      </c>
      <c r="I13">
        <v>0.20300000000000001</v>
      </c>
      <c r="J13" t="s">
        <v>30</v>
      </c>
      <c r="K13" t="s">
        <v>30</v>
      </c>
      <c r="L13" s="1" t="s">
        <v>30</v>
      </c>
      <c r="M13" t="s">
        <v>16</v>
      </c>
      <c r="N13" t="s">
        <v>31</v>
      </c>
      <c r="O13" t="s">
        <v>126</v>
      </c>
      <c r="P13" t="s">
        <v>127</v>
      </c>
      <c r="V13" s="3"/>
      <c r="W13" s="3"/>
      <c r="X13" s="3"/>
    </row>
    <row r="14" spans="1:24" ht="15.75" x14ac:dyDescent="0.25">
      <c r="A14">
        <v>2009</v>
      </c>
      <c r="B14">
        <v>5</v>
      </c>
      <c r="C14" t="s">
        <v>10</v>
      </c>
      <c r="D14">
        <v>14</v>
      </c>
      <c r="E14">
        <v>7</v>
      </c>
      <c r="F14">
        <v>7</v>
      </c>
      <c r="G14">
        <v>0</v>
      </c>
      <c r="H14">
        <v>14</v>
      </c>
      <c r="I14">
        <v>-0.48299999999999998</v>
      </c>
      <c r="K14" t="s">
        <v>108</v>
      </c>
      <c r="L14" s="1" t="s">
        <v>108</v>
      </c>
      <c r="M14" t="s">
        <v>23</v>
      </c>
      <c r="N14" t="s">
        <v>30</v>
      </c>
      <c r="O14" t="s">
        <v>121</v>
      </c>
      <c r="P14" t="s">
        <v>121</v>
      </c>
      <c r="V14" s="3"/>
      <c r="W14" s="3"/>
      <c r="X14" s="3"/>
    </row>
    <row r="15" spans="1:24" ht="15.75" x14ac:dyDescent="0.25">
      <c r="A15">
        <v>2009</v>
      </c>
      <c r="B15">
        <v>6</v>
      </c>
      <c r="C15" t="s">
        <v>9</v>
      </c>
      <c r="D15">
        <v>14</v>
      </c>
      <c r="E15">
        <v>6</v>
      </c>
      <c r="F15">
        <v>7</v>
      </c>
      <c r="G15">
        <v>1</v>
      </c>
      <c r="H15">
        <v>13</v>
      </c>
      <c r="I15">
        <v>-0.35199999999999998</v>
      </c>
      <c r="K15" t="s">
        <v>108</v>
      </c>
      <c r="L15" s="1" t="s">
        <v>108</v>
      </c>
      <c r="M15" t="s">
        <v>9</v>
      </c>
      <c r="N15" t="s">
        <v>30</v>
      </c>
      <c r="O15" t="s">
        <v>122</v>
      </c>
      <c r="P15" t="s">
        <v>123</v>
      </c>
      <c r="V15" s="3"/>
      <c r="W15" s="3"/>
      <c r="X15" s="3"/>
    </row>
    <row r="16" spans="1:24" ht="15.75" x14ac:dyDescent="0.25">
      <c r="A16">
        <v>2009</v>
      </c>
      <c r="B16">
        <v>7</v>
      </c>
      <c r="C16" t="s">
        <v>13</v>
      </c>
      <c r="D16">
        <v>14</v>
      </c>
      <c r="E16">
        <v>5</v>
      </c>
      <c r="F16">
        <v>8</v>
      </c>
      <c r="G16">
        <v>1</v>
      </c>
      <c r="H16">
        <v>11</v>
      </c>
      <c r="I16">
        <v>0.29699999999999999</v>
      </c>
      <c r="K16" t="s">
        <v>108</v>
      </c>
      <c r="L16" s="1" t="s">
        <v>108</v>
      </c>
      <c r="M16" t="s">
        <v>13</v>
      </c>
      <c r="N16" t="s">
        <v>30</v>
      </c>
      <c r="O16" t="s">
        <v>119</v>
      </c>
      <c r="P16" t="s">
        <v>120</v>
      </c>
      <c r="V16" s="3"/>
      <c r="W16" s="3"/>
      <c r="X16" s="3"/>
    </row>
    <row r="17" spans="1:16" x14ac:dyDescent="0.25">
      <c r="A17">
        <v>2009</v>
      </c>
      <c r="B17">
        <v>8</v>
      </c>
      <c r="C17" t="s">
        <v>14</v>
      </c>
      <c r="D17">
        <v>14</v>
      </c>
      <c r="E17">
        <v>3</v>
      </c>
      <c r="F17">
        <v>10</v>
      </c>
      <c r="G17">
        <v>1</v>
      </c>
      <c r="H17">
        <v>7</v>
      </c>
      <c r="I17">
        <v>-0.78900000000000003</v>
      </c>
      <c r="K17" t="s">
        <v>108</v>
      </c>
      <c r="L17" s="1" t="s">
        <v>108</v>
      </c>
      <c r="M17" t="s">
        <v>14</v>
      </c>
      <c r="N17" t="s">
        <v>30</v>
      </c>
      <c r="O17" t="s">
        <v>115</v>
      </c>
      <c r="P17" t="s">
        <v>116</v>
      </c>
    </row>
    <row r="18" spans="1:16" x14ac:dyDescent="0.25">
      <c r="A18">
        <v>2010</v>
      </c>
      <c r="B18">
        <v>1</v>
      </c>
      <c r="C18" t="s">
        <v>13</v>
      </c>
      <c r="D18">
        <v>14</v>
      </c>
      <c r="E18">
        <v>10</v>
      </c>
      <c r="F18">
        <v>4</v>
      </c>
      <c r="G18">
        <v>0</v>
      </c>
      <c r="H18">
        <v>20</v>
      </c>
      <c r="I18">
        <v>1.0840000000000001</v>
      </c>
      <c r="J18" t="s">
        <v>30</v>
      </c>
      <c r="K18" t="s">
        <v>30</v>
      </c>
      <c r="L18" s="1" t="s">
        <v>108</v>
      </c>
      <c r="M18" t="s">
        <v>13</v>
      </c>
      <c r="N18" t="s">
        <v>30</v>
      </c>
      <c r="O18" t="s">
        <v>119</v>
      </c>
      <c r="P18" t="s">
        <v>120</v>
      </c>
    </row>
    <row r="19" spans="1:16" x14ac:dyDescent="0.25">
      <c r="A19">
        <v>2010</v>
      </c>
      <c r="B19">
        <v>2</v>
      </c>
      <c r="C19" t="s">
        <v>16</v>
      </c>
      <c r="D19">
        <v>14</v>
      </c>
      <c r="E19">
        <v>8</v>
      </c>
      <c r="F19">
        <v>6</v>
      </c>
      <c r="G19">
        <v>0</v>
      </c>
      <c r="H19">
        <v>16</v>
      </c>
      <c r="I19">
        <v>-0.29699999999999999</v>
      </c>
      <c r="J19" t="s">
        <v>30</v>
      </c>
      <c r="K19" t="s">
        <v>108</v>
      </c>
      <c r="L19" s="1" t="s">
        <v>108</v>
      </c>
      <c r="M19" t="s">
        <v>16</v>
      </c>
      <c r="N19" t="s">
        <v>31</v>
      </c>
      <c r="O19" t="s">
        <v>126</v>
      </c>
      <c r="P19" t="s">
        <v>127</v>
      </c>
    </row>
    <row r="20" spans="1:16" x14ac:dyDescent="0.25">
      <c r="A20">
        <v>2010</v>
      </c>
      <c r="B20">
        <v>3</v>
      </c>
      <c r="C20" t="s">
        <v>11</v>
      </c>
      <c r="D20">
        <v>14</v>
      </c>
      <c r="E20">
        <v>7</v>
      </c>
      <c r="F20">
        <v>7</v>
      </c>
      <c r="G20">
        <v>0</v>
      </c>
      <c r="H20">
        <v>14</v>
      </c>
      <c r="I20">
        <v>0.27400000000000002</v>
      </c>
      <c r="J20" t="s">
        <v>30</v>
      </c>
      <c r="K20" t="s">
        <v>30</v>
      </c>
      <c r="L20" s="1" t="s">
        <v>30</v>
      </c>
      <c r="M20" t="s">
        <v>11</v>
      </c>
      <c r="N20" t="s">
        <v>30</v>
      </c>
      <c r="O20" t="s">
        <v>109</v>
      </c>
      <c r="P20" t="s">
        <v>110</v>
      </c>
    </row>
    <row r="21" spans="1:16" x14ac:dyDescent="0.25">
      <c r="A21">
        <v>2010</v>
      </c>
      <c r="B21">
        <v>4</v>
      </c>
      <c r="C21" t="s">
        <v>15</v>
      </c>
      <c r="D21">
        <v>14</v>
      </c>
      <c r="E21">
        <v>7</v>
      </c>
      <c r="F21">
        <v>7</v>
      </c>
      <c r="G21">
        <v>0</v>
      </c>
      <c r="H21">
        <v>14</v>
      </c>
      <c r="I21">
        <v>0.219</v>
      </c>
      <c r="J21" t="s">
        <v>30</v>
      </c>
      <c r="K21" t="s">
        <v>108</v>
      </c>
      <c r="L21" s="1" t="s">
        <v>108</v>
      </c>
      <c r="M21" t="s">
        <v>26</v>
      </c>
      <c r="N21" t="s">
        <v>30</v>
      </c>
      <c r="O21" t="s">
        <v>124</v>
      </c>
      <c r="P21" t="s">
        <v>125</v>
      </c>
    </row>
    <row r="22" spans="1:16" x14ac:dyDescent="0.25">
      <c r="A22">
        <v>2010</v>
      </c>
      <c r="B22">
        <v>5</v>
      </c>
      <c r="C22" t="s">
        <v>12</v>
      </c>
      <c r="D22">
        <v>14</v>
      </c>
      <c r="E22">
        <v>7</v>
      </c>
      <c r="F22">
        <v>7</v>
      </c>
      <c r="G22">
        <v>0</v>
      </c>
      <c r="H22">
        <v>14</v>
      </c>
      <c r="I22">
        <v>2.1000000000000001E-2</v>
      </c>
      <c r="K22" t="s">
        <v>108</v>
      </c>
      <c r="L22" s="1" t="s">
        <v>108</v>
      </c>
      <c r="M22" t="s">
        <v>22</v>
      </c>
      <c r="N22" t="s">
        <v>30</v>
      </c>
      <c r="O22" t="s">
        <v>111</v>
      </c>
      <c r="P22" t="s">
        <v>112</v>
      </c>
    </row>
    <row r="23" spans="1:16" x14ac:dyDescent="0.25">
      <c r="A23">
        <v>2010</v>
      </c>
      <c r="B23">
        <v>6</v>
      </c>
      <c r="C23" t="s">
        <v>14</v>
      </c>
      <c r="D23">
        <v>14</v>
      </c>
      <c r="E23">
        <v>7</v>
      </c>
      <c r="F23">
        <v>7</v>
      </c>
      <c r="G23">
        <v>0</v>
      </c>
      <c r="H23">
        <v>14</v>
      </c>
      <c r="I23">
        <v>-0.34100000000000003</v>
      </c>
      <c r="K23" t="s">
        <v>108</v>
      </c>
      <c r="L23" s="1" t="s">
        <v>108</v>
      </c>
      <c r="M23" t="s">
        <v>14</v>
      </c>
      <c r="N23" t="s">
        <v>30</v>
      </c>
      <c r="O23" t="s">
        <v>115</v>
      </c>
      <c r="P23" t="s">
        <v>116</v>
      </c>
    </row>
    <row r="24" spans="1:16" x14ac:dyDescent="0.25">
      <c r="A24">
        <v>2010</v>
      </c>
      <c r="B24">
        <v>7</v>
      </c>
      <c r="C24" t="s">
        <v>9</v>
      </c>
      <c r="D24">
        <v>14</v>
      </c>
      <c r="E24">
        <v>6</v>
      </c>
      <c r="F24">
        <v>8</v>
      </c>
      <c r="G24">
        <v>0</v>
      </c>
      <c r="H24">
        <v>12</v>
      </c>
      <c r="I24">
        <v>-0.51400000000000001</v>
      </c>
      <c r="K24" t="s">
        <v>108</v>
      </c>
      <c r="L24" s="1" t="s">
        <v>108</v>
      </c>
      <c r="M24" t="s">
        <v>9</v>
      </c>
      <c r="N24" t="s">
        <v>30</v>
      </c>
      <c r="O24" t="s">
        <v>122</v>
      </c>
      <c r="P24" t="s">
        <v>123</v>
      </c>
    </row>
    <row r="25" spans="1:16" x14ac:dyDescent="0.25">
      <c r="A25">
        <v>2010</v>
      </c>
      <c r="B25">
        <v>8</v>
      </c>
      <c r="C25" t="s">
        <v>10</v>
      </c>
      <c r="D25">
        <v>14</v>
      </c>
      <c r="E25">
        <v>4</v>
      </c>
      <c r="F25">
        <v>10</v>
      </c>
      <c r="G25">
        <v>0</v>
      </c>
      <c r="H25">
        <v>8</v>
      </c>
      <c r="I25">
        <v>-0.47799999999999998</v>
      </c>
      <c r="K25" t="s">
        <v>108</v>
      </c>
      <c r="L25" s="1" t="s">
        <v>108</v>
      </c>
      <c r="M25" t="s">
        <v>23</v>
      </c>
      <c r="N25" t="s">
        <v>30</v>
      </c>
      <c r="O25" t="s">
        <v>121</v>
      </c>
      <c r="P25" t="s">
        <v>121</v>
      </c>
    </row>
    <row r="26" spans="1:16" x14ac:dyDescent="0.25">
      <c r="A26">
        <v>2011</v>
      </c>
      <c r="B26">
        <v>1</v>
      </c>
      <c r="C26" t="s">
        <v>15</v>
      </c>
      <c r="D26">
        <v>14</v>
      </c>
      <c r="E26">
        <v>9</v>
      </c>
      <c r="F26">
        <v>4</v>
      </c>
      <c r="G26">
        <v>1</v>
      </c>
      <c r="H26">
        <v>19</v>
      </c>
      <c r="I26">
        <v>0.32600000000000001</v>
      </c>
      <c r="J26" t="s">
        <v>30</v>
      </c>
      <c r="K26" t="s">
        <v>30</v>
      </c>
      <c r="L26" s="1" t="s">
        <v>108</v>
      </c>
      <c r="M26" t="s">
        <v>26</v>
      </c>
      <c r="N26" t="s">
        <v>30</v>
      </c>
      <c r="O26" t="s">
        <v>124</v>
      </c>
      <c r="P26" t="s">
        <v>125</v>
      </c>
    </row>
    <row r="27" spans="1:16" x14ac:dyDescent="0.25">
      <c r="A27">
        <v>2011</v>
      </c>
      <c r="B27">
        <v>2</v>
      </c>
      <c r="C27" t="s">
        <v>11</v>
      </c>
      <c r="D27">
        <v>14</v>
      </c>
      <c r="E27">
        <v>9</v>
      </c>
      <c r="F27">
        <v>5</v>
      </c>
      <c r="G27">
        <v>0</v>
      </c>
      <c r="H27">
        <v>18</v>
      </c>
      <c r="I27">
        <v>0.443</v>
      </c>
      <c r="J27" t="s">
        <v>30</v>
      </c>
      <c r="K27" t="s">
        <v>30</v>
      </c>
      <c r="L27" s="1" t="s">
        <v>30</v>
      </c>
      <c r="M27" t="s">
        <v>11</v>
      </c>
      <c r="N27" t="s">
        <v>30</v>
      </c>
      <c r="O27" t="s">
        <v>109</v>
      </c>
      <c r="P27" t="s">
        <v>110</v>
      </c>
    </row>
    <row r="28" spans="1:16" x14ac:dyDescent="0.25">
      <c r="A28">
        <v>2011</v>
      </c>
      <c r="B28">
        <v>3</v>
      </c>
      <c r="C28" t="s">
        <v>13</v>
      </c>
      <c r="D28">
        <v>14</v>
      </c>
      <c r="E28">
        <v>9</v>
      </c>
      <c r="F28">
        <v>5</v>
      </c>
      <c r="G28">
        <v>0</v>
      </c>
      <c r="H28">
        <v>18</v>
      </c>
      <c r="I28">
        <v>0.04</v>
      </c>
      <c r="J28" t="s">
        <v>30</v>
      </c>
      <c r="K28" t="s">
        <v>108</v>
      </c>
      <c r="L28" s="1" t="s">
        <v>108</v>
      </c>
      <c r="M28" t="s">
        <v>13</v>
      </c>
      <c r="N28" t="s">
        <v>30</v>
      </c>
      <c r="O28" t="s">
        <v>119</v>
      </c>
      <c r="P28" t="s">
        <v>120</v>
      </c>
    </row>
    <row r="29" spans="1:16" x14ac:dyDescent="0.25">
      <c r="A29">
        <v>2011</v>
      </c>
      <c r="B29">
        <v>4</v>
      </c>
      <c r="C29" t="s">
        <v>14</v>
      </c>
      <c r="D29">
        <v>14</v>
      </c>
      <c r="E29">
        <v>8</v>
      </c>
      <c r="F29">
        <v>6</v>
      </c>
      <c r="G29">
        <v>0</v>
      </c>
      <c r="H29">
        <v>16</v>
      </c>
      <c r="I29">
        <v>0.433</v>
      </c>
      <c r="J29" t="s">
        <v>30</v>
      </c>
      <c r="K29" t="s">
        <v>108</v>
      </c>
      <c r="L29" s="1" t="s">
        <v>108</v>
      </c>
      <c r="M29" t="s">
        <v>14</v>
      </c>
      <c r="N29" t="s">
        <v>30</v>
      </c>
      <c r="O29" t="s">
        <v>115</v>
      </c>
      <c r="P29" t="s">
        <v>116</v>
      </c>
    </row>
    <row r="30" spans="1:16" x14ac:dyDescent="0.25">
      <c r="A30">
        <v>2011</v>
      </c>
      <c r="B30">
        <v>5</v>
      </c>
      <c r="C30" t="s">
        <v>10</v>
      </c>
      <c r="D30">
        <v>14</v>
      </c>
      <c r="E30">
        <v>7</v>
      </c>
      <c r="F30">
        <v>7</v>
      </c>
      <c r="G30">
        <v>0</v>
      </c>
      <c r="H30">
        <v>14</v>
      </c>
      <c r="I30">
        <v>-5.0999999999999997E-2</v>
      </c>
      <c r="K30" t="s">
        <v>108</v>
      </c>
      <c r="L30" s="1" t="s">
        <v>108</v>
      </c>
      <c r="M30" t="s">
        <v>23</v>
      </c>
      <c r="N30" t="s">
        <v>30</v>
      </c>
      <c r="O30" t="s">
        <v>121</v>
      </c>
      <c r="P30" t="s">
        <v>121</v>
      </c>
    </row>
    <row r="31" spans="1:16" x14ac:dyDescent="0.25">
      <c r="A31">
        <v>2011</v>
      </c>
      <c r="B31">
        <v>6</v>
      </c>
      <c r="C31" t="s">
        <v>9</v>
      </c>
      <c r="D31">
        <v>14</v>
      </c>
      <c r="E31">
        <v>6</v>
      </c>
      <c r="F31">
        <v>7</v>
      </c>
      <c r="G31">
        <v>1</v>
      </c>
      <c r="H31">
        <v>13</v>
      </c>
      <c r="I31">
        <v>-0.69099999999999995</v>
      </c>
      <c r="K31" t="s">
        <v>108</v>
      </c>
      <c r="L31" s="1" t="s">
        <v>108</v>
      </c>
      <c r="M31" t="s">
        <v>9</v>
      </c>
      <c r="N31" t="s">
        <v>30</v>
      </c>
      <c r="O31" t="s">
        <v>122</v>
      </c>
      <c r="P31" t="s">
        <v>123</v>
      </c>
    </row>
    <row r="32" spans="1:16" x14ac:dyDescent="0.25">
      <c r="A32">
        <v>2011</v>
      </c>
      <c r="B32">
        <v>7</v>
      </c>
      <c r="C32" t="s">
        <v>16</v>
      </c>
      <c r="D32">
        <v>14</v>
      </c>
      <c r="E32">
        <v>6</v>
      </c>
      <c r="F32">
        <v>8</v>
      </c>
      <c r="G32">
        <v>0</v>
      </c>
      <c r="H32">
        <v>12</v>
      </c>
      <c r="I32">
        <v>0.222</v>
      </c>
      <c r="K32" t="s">
        <v>108</v>
      </c>
      <c r="L32" s="1" t="s">
        <v>108</v>
      </c>
      <c r="M32" t="s">
        <v>16</v>
      </c>
      <c r="N32" t="s">
        <v>31</v>
      </c>
      <c r="O32" t="s">
        <v>126</v>
      </c>
      <c r="P32" t="s">
        <v>127</v>
      </c>
    </row>
    <row r="33" spans="1:16" x14ac:dyDescent="0.25">
      <c r="A33">
        <v>2011</v>
      </c>
      <c r="B33">
        <v>8</v>
      </c>
      <c r="C33" t="s">
        <v>17</v>
      </c>
      <c r="D33">
        <v>14</v>
      </c>
      <c r="E33">
        <v>6</v>
      </c>
      <c r="F33">
        <v>8</v>
      </c>
      <c r="G33">
        <v>0</v>
      </c>
      <c r="H33">
        <v>12</v>
      </c>
      <c r="I33">
        <v>-0.214</v>
      </c>
      <c r="K33" t="s">
        <v>108</v>
      </c>
      <c r="L33" s="1" t="s">
        <v>108</v>
      </c>
      <c r="M33" t="s">
        <v>17</v>
      </c>
      <c r="N33" t="s">
        <v>31</v>
      </c>
      <c r="O33" t="s">
        <v>130</v>
      </c>
      <c r="P33" t="s">
        <v>131</v>
      </c>
    </row>
    <row r="34" spans="1:16" x14ac:dyDescent="0.25">
      <c r="A34">
        <v>2011</v>
      </c>
      <c r="B34">
        <v>9</v>
      </c>
      <c r="C34" t="s">
        <v>18</v>
      </c>
      <c r="D34">
        <v>14</v>
      </c>
      <c r="E34">
        <v>4</v>
      </c>
      <c r="F34">
        <v>9</v>
      </c>
      <c r="G34">
        <v>1</v>
      </c>
      <c r="H34">
        <v>9</v>
      </c>
      <c r="I34">
        <v>-0.13400000000000001</v>
      </c>
      <c r="K34" t="s">
        <v>108</v>
      </c>
      <c r="L34" s="1" t="s">
        <v>108</v>
      </c>
      <c r="M34" t="s">
        <v>18</v>
      </c>
      <c r="N34" t="s">
        <v>31</v>
      </c>
      <c r="O34" t="s">
        <v>132</v>
      </c>
      <c r="P34" t="s">
        <v>120</v>
      </c>
    </row>
    <row r="35" spans="1:16" x14ac:dyDescent="0.25">
      <c r="A35">
        <v>2011</v>
      </c>
      <c r="B35">
        <v>10</v>
      </c>
      <c r="C35" t="s">
        <v>12</v>
      </c>
      <c r="D35">
        <v>14</v>
      </c>
      <c r="E35">
        <v>4</v>
      </c>
      <c r="F35">
        <v>9</v>
      </c>
      <c r="G35">
        <v>1</v>
      </c>
      <c r="H35">
        <v>9</v>
      </c>
      <c r="I35">
        <v>-0.44800000000000001</v>
      </c>
      <c r="K35" t="s">
        <v>108</v>
      </c>
      <c r="L35" s="1" t="s">
        <v>108</v>
      </c>
      <c r="M35" t="s">
        <v>22</v>
      </c>
      <c r="N35" t="s">
        <v>30</v>
      </c>
      <c r="O35" t="s">
        <v>111</v>
      </c>
      <c r="P35" t="s">
        <v>112</v>
      </c>
    </row>
    <row r="36" spans="1:16" x14ac:dyDescent="0.25">
      <c r="A36">
        <v>2012</v>
      </c>
      <c r="B36">
        <v>1</v>
      </c>
      <c r="C36" t="s">
        <v>12</v>
      </c>
      <c r="D36">
        <v>16</v>
      </c>
      <c r="E36">
        <v>11</v>
      </c>
      <c r="F36">
        <v>5</v>
      </c>
      <c r="G36">
        <v>0</v>
      </c>
      <c r="H36">
        <v>22</v>
      </c>
      <c r="I36">
        <v>0.61699999999999999</v>
      </c>
      <c r="J36" t="s">
        <v>30</v>
      </c>
      <c r="K36" t="s">
        <v>108</v>
      </c>
      <c r="L36" s="1" t="s">
        <v>108</v>
      </c>
      <c r="M36" t="s">
        <v>22</v>
      </c>
      <c r="N36" t="s">
        <v>30</v>
      </c>
      <c r="O36" t="s">
        <v>111</v>
      </c>
      <c r="P36" t="s">
        <v>112</v>
      </c>
    </row>
    <row r="37" spans="1:16" x14ac:dyDescent="0.25">
      <c r="A37">
        <v>2012</v>
      </c>
      <c r="B37">
        <v>2</v>
      </c>
      <c r="C37" t="s">
        <v>14</v>
      </c>
      <c r="D37">
        <v>16</v>
      </c>
      <c r="E37">
        <v>10</v>
      </c>
      <c r="F37">
        <v>5</v>
      </c>
      <c r="G37">
        <v>1</v>
      </c>
      <c r="H37">
        <v>21</v>
      </c>
      <c r="I37">
        <v>0.56100000000000005</v>
      </c>
      <c r="J37" t="s">
        <v>30</v>
      </c>
      <c r="K37" t="s">
        <v>30</v>
      </c>
      <c r="L37" s="1" t="s">
        <v>30</v>
      </c>
      <c r="M37" t="s">
        <v>14</v>
      </c>
      <c r="N37" t="s">
        <v>30</v>
      </c>
      <c r="O37" t="s">
        <v>115</v>
      </c>
      <c r="P37" t="s">
        <v>116</v>
      </c>
    </row>
    <row r="38" spans="1:16" x14ac:dyDescent="0.25">
      <c r="A38">
        <v>2012</v>
      </c>
      <c r="B38">
        <v>3</v>
      </c>
      <c r="C38" t="s">
        <v>13</v>
      </c>
      <c r="D38">
        <v>16</v>
      </c>
      <c r="E38">
        <v>10</v>
      </c>
      <c r="F38">
        <v>6</v>
      </c>
      <c r="G38">
        <v>0</v>
      </c>
      <c r="H38">
        <v>20</v>
      </c>
      <c r="I38">
        <v>-0.1</v>
      </c>
      <c r="J38" t="s">
        <v>30</v>
      </c>
      <c r="K38" t="s">
        <v>108</v>
      </c>
      <c r="L38" s="1" t="s">
        <v>108</v>
      </c>
      <c r="M38" t="s">
        <v>13</v>
      </c>
      <c r="N38" t="s">
        <v>30</v>
      </c>
      <c r="O38" t="s">
        <v>119</v>
      </c>
      <c r="P38" t="s">
        <v>120</v>
      </c>
    </row>
    <row r="39" spans="1:16" x14ac:dyDescent="0.25">
      <c r="A39">
        <v>2012</v>
      </c>
      <c r="B39">
        <v>4</v>
      </c>
      <c r="C39" t="s">
        <v>11</v>
      </c>
      <c r="D39">
        <v>16</v>
      </c>
      <c r="E39">
        <v>8</v>
      </c>
      <c r="F39">
        <v>7</v>
      </c>
      <c r="G39">
        <v>1</v>
      </c>
      <c r="H39">
        <v>17</v>
      </c>
      <c r="I39">
        <v>0.1</v>
      </c>
      <c r="J39" t="s">
        <v>30</v>
      </c>
      <c r="K39" t="s">
        <v>30</v>
      </c>
      <c r="L39" s="1" t="s">
        <v>108</v>
      </c>
      <c r="M39" t="s">
        <v>11</v>
      </c>
      <c r="N39" t="s">
        <v>30</v>
      </c>
      <c r="O39" t="s">
        <v>109</v>
      </c>
      <c r="P39" t="s">
        <v>110</v>
      </c>
    </row>
    <row r="40" spans="1:16" x14ac:dyDescent="0.25">
      <c r="A40">
        <v>2012</v>
      </c>
      <c r="B40">
        <v>5</v>
      </c>
      <c r="C40" t="s">
        <v>15</v>
      </c>
      <c r="D40">
        <v>16</v>
      </c>
      <c r="E40">
        <v>8</v>
      </c>
      <c r="F40">
        <v>7</v>
      </c>
      <c r="G40">
        <v>1</v>
      </c>
      <c r="H40">
        <v>17</v>
      </c>
      <c r="I40">
        <v>-2.1999999999999999E-2</v>
      </c>
      <c r="K40" t="s">
        <v>108</v>
      </c>
      <c r="L40" s="1" t="s">
        <v>108</v>
      </c>
      <c r="M40" t="s">
        <v>26</v>
      </c>
      <c r="N40" t="s">
        <v>30</v>
      </c>
      <c r="O40" t="s">
        <v>124</v>
      </c>
      <c r="P40" t="s">
        <v>125</v>
      </c>
    </row>
    <row r="41" spans="1:16" x14ac:dyDescent="0.25">
      <c r="A41">
        <v>2012</v>
      </c>
      <c r="B41">
        <v>6</v>
      </c>
      <c r="C41" t="s">
        <v>10</v>
      </c>
      <c r="D41">
        <v>16</v>
      </c>
      <c r="E41">
        <v>8</v>
      </c>
      <c r="F41">
        <v>8</v>
      </c>
      <c r="G41">
        <v>0</v>
      </c>
      <c r="H41">
        <v>16</v>
      </c>
      <c r="I41">
        <v>-0.216</v>
      </c>
      <c r="K41" t="s">
        <v>108</v>
      </c>
      <c r="L41" s="1" t="s">
        <v>108</v>
      </c>
      <c r="M41" t="s">
        <v>23</v>
      </c>
      <c r="N41" t="s">
        <v>30</v>
      </c>
      <c r="O41" t="s">
        <v>121</v>
      </c>
      <c r="P41" t="s">
        <v>121</v>
      </c>
    </row>
    <row r="42" spans="1:16" x14ac:dyDescent="0.25">
      <c r="A42">
        <v>2012</v>
      </c>
      <c r="B42">
        <v>7</v>
      </c>
      <c r="C42" t="s">
        <v>9</v>
      </c>
      <c r="D42">
        <v>16</v>
      </c>
      <c r="E42">
        <v>7</v>
      </c>
      <c r="F42">
        <v>9</v>
      </c>
      <c r="G42">
        <v>0</v>
      </c>
      <c r="H42">
        <v>14</v>
      </c>
      <c r="I42">
        <v>0.20100000000000001</v>
      </c>
      <c r="K42" t="s">
        <v>108</v>
      </c>
      <c r="L42" s="1" t="s">
        <v>108</v>
      </c>
      <c r="M42" t="s">
        <v>9</v>
      </c>
      <c r="N42" t="s">
        <v>30</v>
      </c>
      <c r="O42" t="s">
        <v>122</v>
      </c>
      <c r="P42" t="s">
        <v>123</v>
      </c>
    </row>
    <row r="43" spans="1:16" x14ac:dyDescent="0.25">
      <c r="A43">
        <v>2012</v>
      </c>
      <c r="B43">
        <v>8</v>
      </c>
      <c r="C43" t="s">
        <v>16</v>
      </c>
      <c r="D43">
        <v>16</v>
      </c>
      <c r="E43">
        <v>4</v>
      </c>
      <c r="F43">
        <v>11</v>
      </c>
      <c r="G43">
        <v>1</v>
      </c>
      <c r="H43">
        <v>9</v>
      </c>
      <c r="I43">
        <v>-0.50900000000000001</v>
      </c>
      <c r="K43" t="s">
        <v>108</v>
      </c>
      <c r="L43" s="1" t="s">
        <v>108</v>
      </c>
      <c r="M43" t="s">
        <v>16</v>
      </c>
      <c r="N43" t="s">
        <v>31</v>
      </c>
      <c r="O43" t="s">
        <v>126</v>
      </c>
      <c r="P43" t="s">
        <v>127</v>
      </c>
    </row>
    <row r="44" spans="1:16" x14ac:dyDescent="0.25">
      <c r="A44">
        <v>2012</v>
      </c>
      <c r="B44">
        <v>9</v>
      </c>
      <c r="C44" t="s">
        <v>18</v>
      </c>
      <c r="D44">
        <v>16</v>
      </c>
      <c r="E44">
        <v>4</v>
      </c>
      <c r="F44">
        <v>12</v>
      </c>
      <c r="G44">
        <v>0</v>
      </c>
      <c r="H44">
        <v>8</v>
      </c>
      <c r="I44">
        <v>-0.55100000000000005</v>
      </c>
      <c r="K44" t="s">
        <v>108</v>
      </c>
      <c r="L44" s="1" t="s">
        <v>108</v>
      </c>
      <c r="M44" t="s">
        <v>18</v>
      </c>
      <c r="N44" t="s">
        <v>31</v>
      </c>
      <c r="O44" t="s">
        <v>132</v>
      </c>
      <c r="P44" t="s">
        <v>120</v>
      </c>
    </row>
    <row r="45" spans="1:16" x14ac:dyDescent="0.25">
      <c r="A45">
        <v>2013</v>
      </c>
      <c r="B45">
        <v>1</v>
      </c>
      <c r="C45" t="s">
        <v>11</v>
      </c>
      <c r="D45">
        <v>16</v>
      </c>
      <c r="E45">
        <v>11</v>
      </c>
      <c r="F45">
        <v>5</v>
      </c>
      <c r="G45">
        <v>0</v>
      </c>
      <c r="H45">
        <v>22</v>
      </c>
      <c r="I45">
        <v>0.53</v>
      </c>
      <c r="J45" t="s">
        <v>30</v>
      </c>
      <c r="K45" t="s">
        <v>30</v>
      </c>
      <c r="L45" s="1" t="s">
        <v>108</v>
      </c>
      <c r="M45" t="s">
        <v>11</v>
      </c>
      <c r="N45" t="s">
        <v>30</v>
      </c>
      <c r="O45" t="s">
        <v>109</v>
      </c>
      <c r="P45" t="s">
        <v>110</v>
      </c>
    </row>
    <row r="46" spans="1:16" x14ac:dyDescent="0.25">
      <c r="A46">
        <v>2013</v>
      </c>
      <c r="B46">
        <v>2</v>
      </c>
      <c r="C46" t="s">
        <v>13</v>
      </c>
      <c r="D46">
        <v>16</v>
      </c>
      <c r="E46">
        <v>11</v>
      </c>
      <c r="F46">
        <v>5</v>
      </c>
      <c r="G46">
        <v>0</v>
      </c>
      <c r="H46">
        <v>22</v>
      </c>
      <c r="I46">
        <v>0.441</v>
      </c>
      <c r="J46" t="s">
        <v>30</v>
      </c>
      <c r="K46" t="s">
        <v>30</v>
      </c>
      <c r="L46" s="1" t="s">
        <v>30</v>
      </c>
      <c r="M46" t="s">
        <v>13</v>
      </c>
      <c r="N46" t="s">
        <v>30</v>
      </c>
      <c r="O46" t="s">
        <v>119</v>
      </c>
      <c r="P46" t="s">
        <v>120</v>
      </c>
    </row>
    <row r="47" spans="1:16" x14ac:dyDescent="0.25">
      <c r="A47">
        <v>2013</v>
      </c>
      <c r="B47">
        <v>3</v>
      </c>
      <c r="C47" t="s">
        <v>9</v>
      </c>
      <c r="D47">
        <v>16</v>
      </c>
      <c r="E47">
        <v>10</v>
      </c>
      <c r="F47">
        <v>6</v>
      </c>
      <c r="G47">
        <v>0</v>
      </c>
      <c r="H47">
        <v>20</v>
      </c>
      <c r="I47">
        <v>0.32200000000000001</v>
      </c>
      <c r="J47" t="s">
        <v>30</v>
      </c>
      <c r="K47" t="s">
        <v>108</v>
      </c>
      <c r="L47" s="1" t="s">
        <v>108</v>
      </c>
      <c r="M47" t="s">
        <v>9</v>
      </c>
      <c r="N47" t="s">
        <v>30</v>
      </c>
      <c r="O47" t="s">
        <v>122</v>
      </c>
      <c r="P47" t="s">
        <v>123</v>
      </c>
    </row>
    <row r="48" spans="1:16" x14ac:dyDescent="0.25">
      <c r="A48">
        <v>2013</v>
      </c>
      <c r="B48">
        <v>4</v>
      </c>
      <c r="C48" t="s">
        <v>19</v>
      </c>
      <c r="D48">
        <v>16</v>
      </c>
      <c r="E48">
        <v>10</v>
      </c>
      <c r="F48">
        <v>6</v>
      </c>
      <c r="G48">
        <v>0</v>
      </c>
      <c r="H48">
        <v>20</v>
      </c>
      <c r="I48">
        <v>3.0000000000000001E-3</v>
      </c>
      <c r="J48" t="s">
        <v>30</v>
      </c>
      <c r="K48" t="s">
        <v>108</v>
      </c>
      <c r="L48" s="1" t="s">
        <v>108</v>
      </c>
      <c r="M48" t="s">
        <v>19</v>
      </c>
      <c r="N48" t="s">
        <v>30</v>
      </c>
      <c r="O48" t="s">
        <v>126</v>
      </c>
      <c r="P48" t="s">
        <v>127</v>
      </c>
    </row>
    <row r="49" spans="1:16" x14ac:dyDescent="0.25">
      <c r="A49">
        <v>2013</v>
      </c>
      <c r="B49">
        <v>5</v>
      </c>
      <c r="C49" t="s">
        <v>15</v>
      </c>
      <c r="D49">
        <v>16</v>
      </c>
      <c r="E49">
        <v>9</v>
      </c>
      <c r="F49">
        <v>7</v>
      </c>
      <c r="G49">
        <v>0</v>
      </c>
      <c r="H49">
        <v>18</v>
      </c>
      <c r="I49">
        <v>0.45700000000000002</v>
      </c>
      <c r="K49" t="s">
        <v>108</v>
      </c>
      <c r="L49" s="1" t="s">
        <v>108</v>
      </c>
      <c r="M49" t="s">
        <v>26</v>
      </c>
      <c r="N49" t="s">
        <v>30</v>
      </c>
      <c r="O49" t="s">
        <v>124</v>
      </c>
      <c r="P49" t="s">
        <v>125</v>
      </c>
    </row>
    <row r="50" spans="1:16" x14ac:dyDescent="0.25">
      <c r="A50">
        <v>2013</v>
      </c>
      <c r="B50">
        <v>6</v>
      </c>
      <c r="C50" t="s">
        <v>10</v>
      </c>
      <c r="D50">
        <v>16</v>
      </c>
      <c r="E50">
        <v>8</v>
      </c>
      <c r="F50">
        <v>8</v>
      </c>
      <c r="G50">
        <v>0</v>
      </c>
      <c r="H50">
        <v>16</v>
      </c>
      <c r="I50">
        <v>0.22600000000000001</v>
      </c>
      <c r="K50" t="s">
        <v>108</v>
      </c>
      <c r="L50" s="1" t="s">
        <v>108</v>
      </c>
      <c r="M50" t="s">
        <v>23</v>
      </c>
      <c r="N50" t="s">
        <v>30</v>
      </c>
      <c r="O50" t="s">
        <v>121</v>
      </c>
      <c r="P50" t="s">
        <v>121</v>
      </c>
    </row>
    <row r="51" spans="1:16" x14ac:dyDescent="0.25">
      <c r="A51">
        <v>2013</v>
      </c>
      <c r="B51">
        <v>7</v>
      </c>
      <c r="C51" t="s">
        <v>14</v>
      </c>
      <c r="D51">
        <v>16</v>
      </c>
      <c r="E51">
        <v>6</v>
      </c>
      <c r="F51">
        <v>10</v>
      </c>
      <c r="G51">
        <v>0</v>
      </c>
      <c r="H51">
        <v>12</v>
      </c>
      <c r="I51">
        <v>-9.5000000000000001E-2</v>
      </c>
      <c r="K51" t="s">
        <v>108</v>
      </c>
      <c r="L51" s="1" t="s">
        <v>108</v>
      </c>
      <c r="M51" t="s">
        <v>14</v>
      </c>
      <c r="N51" t="s">
        <v>30</v>
      </c>
      <c r="O51" t="s">
        <v>115</v>
      </c>
      <c r="P51" t="s">
        <v>116</v>
      </c>
    </row>
    <row r="52" spans="1:16" x14ac:dyDescent="0.25">
      <c r="A52">
        <v>2013</v>
      </c>
      <c r="B52">
        <v>8</v>
      </c>
      <c r="C52" t="s">
        <v>18</v>
      </c>
      <c r="D52">
        <v>16</v>
      </c>
      <c r="E52">
        <v>4</v>
      </c>
      <c r="F52">
        <v>12</v>
      </c>
      <c r="G52">
        <v>0</v>
      </c>
      <c r="H52">
        <v>8</v>
      </c>
      <c r="I52">
        <v>-1.006</v>
      </c>
      <c r="K52" t="s">
        <v>108</v>
      </c>
      <c r="L52" s="1" t="s">
        <v>108</v>
      </c>
      <c r="M52" t="s">
        <v>18</v>
      </c>
      <c r="N52" t="s">
        <v>31</v>
      </c>
      <c r="O52" t="s">
        <v>132</v>
      </c>
      <c r="P52" t="s">
        <v>120</v>
      </c>
    </row>
    <row r="53" spans="1:16" x14ac:dyDescent="0.25">
      <c r="A53">
        <v>2013</v>
      </c>
      <c r="B53">
        <v>9</v>
      </c>
      <c r="C53" t="s">
        <v>12</v>
      </c>
      <c r="D53">
        <v>16</v>
      </c>
      <c r="E53">
        <v>3</v>
      </c>
      <c r="F53">
        <v>13</v>
      </c>
      <c r="G53">
        <v>0</v>
      </c>
      <c r="H53">
        <v>6</v>
      </c>
      <c r="I53">
        <v>-0.84799999999999998</v>
      </c>
      <c r="K53" t="s">
        <v>108</v>
      </c>
      <c r="L53" s="1" t="s">
        <v>108</v>
      </c>
      <c r="M53" t="s">
        <v>22</v>
      </c>
      <c r="N53" t="s">
        <v>30</v>
      </c>
      <c r="O53" t="s">
        <v>111</v>
      </c>
      <c r="P53" t="s">
        <v>112</v>
      </c>
    </row>
    <row r="54" spans="1:16" x14ac:dyDescent="0.25">
      <c r="A54">
        <v>2014</v>
      </c>
      <c r="B54">
        <v>1</v>
      </c>
      <c r="C54" t="s">
        <v>10</v>
      </c>
      <c r="D54">
        <v>14</v>
      </c>
      <c r="E54">
        <v>11</v>
      </c>
      <c r="F54">
        <v>3</v>
      </c>
      <c r="G54">
        <v>0</v>
      </c>
      <c r="H54">
        <v>22</v>
      </c>
      <c r="I54">
        <v>0.96799999999999997</v>
      </c>
      <c r="J54" t="s">
        <v>30</v>
      </c>
      <c r="K54" t="s">
        <v>30</v>
      </c>
      <c r="L54" s="1" t="s">
        <v>108</v>
      </c>
      <c r="M54" t="s">
        <v>23</v>
      </c>
      <c r="N54" t="s">
        <v>30</v>
      </c>
      <c r="O54" t="s">
        <v>121</v>
      </c>
      <c r="P54" t="s">
        <v>121</v>
      </c>
    </row>
    <row r="55" spans="1:16" x14ac:dyDescent="0.25">
      <c r="A55">
        <v>2014</v>
      </c>
      <c r="B55">
        <v>2</v>
      </c>
      <c r="C55" t="s">
        <v>14</v>
      </c>
      <c r="D55">
        <v>14</v>
      </c>
      <c r="E55">
        <v>9</v>
      </c>
      <c r="F55">
        <v>5</v>
      </c>
      <c r="G55">
        <v>0</v>
      </c>
      <c r="H55">
        <v>18</v>
      </c>
      <c r="I55">
        <v>0.41799999999999998</v>
      </c>
      <c r="J55" t="s">
        <v>30</v>
      </c>
      <c r="K55" t="s">
        <v>30</v>
      </c>
      <c r="L55" s="1" t="s">
        <v>30</v>
      </c>
      <c r="M55" t="s">
        <v>14</v>
      </c>
      <c r="N55" t="s">
        <v>30</v>
      </c>
      <c r="O55" t="s">
        <v>115</v>
      </c>
      <c r="P55" t="s">
        <v>116</v>
      </c>
    </row>
    <row r="56" spans="1:16" x14ac:dyDescent="0.25">
      <c r="A56">
        <v>2014</v>
      </c>
      <c r="B56">
        <v>3</v>
      </c>
      <c r="C56" t="s">
        <v>11</v>
      </c>
      <c r="D56">
        <v>14</v>
      </c>
      <c r="E56">
        <v>9</v>
      </c>
      <c r="F56">
        <v>5</v>
      </c>
      <c r="G56">
        <v>0</v>
      </c>
      <c r="H56">
        <v>18</v>
      </c>
      <c r="I56">
        <v>0.38500000000000001</v>
      </c>
      <c r="J56" t="s">
        <v>30</v>
      </c>
      <c r="K56" t="s">
        <v>108</v>
      </c>
      <c r="L56" s="1" t="s">
        <v>108</v>
      </c>
      <c r="M56" t="s">
        <v>11</v>
      </c>
      <c r="N56" t="s">
        <v>30</v>
      </c>
      <c r="O56" t="s">
        <v>109</v>
      </c>
      <c r="P56" t="s">
        <v>110</v>
      </c>
    </row>
    <row r="57" spans="1:16" x14ac:dyDescent="0.25">
      <c r="A57">
        <v>2014</v>
      </c>
      <c r="B57">
        <v>4</v>
      </c>
      <c r="C57" t="s">
        <v>13</v>
      </c>
      <c r="D57">
        <v>14</v>
      </c>
      <c r="E57">
        <v>7</v>
      </c>
      <c r="F57">
        <v>7</v>
      </c>
      <c r="G57">
        <v>0</v>
      </c>
      <c r="H57">
        <v>14</v>
      </c>
      <c r="I57">
        <v>9.5000000000000001E-2</v>
      </c>
      <c r="J57" t="s">
        <v>30</v>
      </c>
      <c r="K57" t="s">
        <v>108</v>
      </c>
      <c r="L57" s="1" t="s">
        <v>108</v>
      </c>
      <c r="M57" t="s">
        <v>13</v>
      </c>
      <c r="N57" t="s">
        <v>30</v>
      </c>
      <c r="O57" t="s">
        <v>119</v>
      </c>
      <c r="P57" t="s">
        <v>120</v>
      </c>
    </row>
    <row r="58" spans="1:16" x14ac:dyDescent="0.25">
      <c r="A58">
        <v>2014</v>
      </c>
      <c r="B58">
        <v>5</v>
      </c>
      <c r="C58" t="s">
        <v>9</v>
      </c>
      <c r="D58">
        <v>14</v>
      </c>
      <c r="E58">
        <v>7</v>
      </c>
      <c r="F58">
        <v>7</v>
      </c>
      <c r="G58">
        <v>0</v>
      </c>
      <c r="H58">
        <v>14</v>
      </c>
      <c r="I58">
        <v>0.06</v>
      </c>
      <c r="K58" t="s">
        <v>108</v>
      </c>
      <c r="L58" s="1" t="s">
        <v>108</v>
      </c>
      <c r="M58" t="s">
        <v>9</v>
      </c>
      <c r="N58" t="s">
        <v>30</v>
      </c>
      <c r="O58" t="s">
        <v>122</v>
      </c>
      <c r="P58" t="s">
        <v>123</v>
      </c>
    </row>
    <row r="59" spans="1:16" x14ac:dyDescent="0.25">
      <c r="A59">
        <v>2014</v>
      </c>
      <c r="B59">
        <v>6</v>
      </c>
      <c r="C59" t="s">
        <v>19</v>
      </c>
      <c r="D59">
        <v>14</v>
      </c>
      <c r="E59">
        <v>6</v>
      </c>
      <c r="F59">
        <v>8</v>
      </c>
      <c r="G59">
        <v>0</v>
      </c>
      <c r="H59">
        <v>12</v>
      </c>
      <c r="I59">
        <v>-0.39900000000000002</v>
      </c>
      <c r="K59" t="s">
        <v>108</v>
      </c>
      <c r="L59" s="1" t="s">
        <v>108</v>
      </c>
      <c r="M59" t="s">
        <v>19</v>
      </c>
      <c r="N59" t="s">
        <v>30</v>
      </c>
      <c r="O59" t="s">
        <v>126</v>
      </c>
      <c r="P59" t="s">
        <v>127</v>
      </c>
    </row>
    <row r="60" spans="1:16" x14ac:dyDescent="0.25">
      <c r="A60">
        <v>2014</v>
      </c>
      <c r="B60">
        <v>7</v>
      </c>
      <c r="C60" t="s">
        <v>15</v>
      </c>
      <c r="D60">
        <v>14</v>
      </c>
      <c r="E60">
        <v>5</v>
      </c>
      <c r="F60">
        <v>9</v>
      </c>
      <c r="G60">
        <v>0</v>
      </c>
      <c r="H60">
        <v>10</v>
      </c>
      <c r="I60">
        <v>-0.42799999999999999</v>
      </c>
      <c r="K60" t="s">
        <v>108</v>
      </c>
      <c r="L60" s="1" t="s">
        <v>108</v>
      </c>
      <c r="M60" t="s">
        <v>26</v>
      </c>
      <c r="N60" t="s">
        <v>30</v>
      </c>
      <c r="O60" t="s">
        <v>124</v>
      </c>
      <c r="P60" t="s">
        <v>125</v>
      </c>
    </row>
    <row r="61" spans="1:16" x14ac:dyDescent="0.25">
      <c r="A61">
        <v>2014</v>
      </c>
      <c r="B61">
        <v>8</v>
      </c>
      <c r="C61" t="s">
        <v>12</v>
      </c>
      <c r="D61">
        <v>14</v>
      </c>
      <c r="E61">
        <v>2</v>
      </c>
      <c r="F61">
        <v>12</v>
      </c>
      <c r="G61">
        <v>0</v>
      </c>
      <c r="H61">
        <v>4</v>
      </c>
      <c r="I61">
        <v>-1.1819999999999999</v>
      </c>
      <c r="K61" t="s">
        <v>108</v>
      </c>
      <c r="L61" s="1" t="s">
        <v>108</v>
      </c>
      <c r="M61" t="s">
        <v>22</v>
      </c>
      <c r="N61" t="s">
        <v>30</v>
      </c>
      <c r="O61" t="s">
        <v>111</v>
      </c>
      <c r="P61" t="s">
        <v>112</v>
      </c>
    </row>
    <row r="62" spans="1:16" x14ac:dyDescent="0.25">
      <c r="A62">
        <v>2015</v>
      </c>
      <c r="B62">
        <v>1</v>
      </c>
      <c r="C62" t="s">
        <v>11</v>
      </c>
      <c r="D62">
        <v>14</v>
      </c>
      <c r="E62">
        <v>9</v>
      </c>
      <c r="F62">
        <v>5</v>
      </c>
      <c r="G62">
        <v>0</v>
      </c>
      <c r="H62">
        <v>18</v>
      </c>
      <c r="I62">
        <v>0.70899999999999996</v>
      </c>
      <c r="J62" t="s">
        <v>30</v>
      </c>
      <c r="K62" t="s">
        <v>30</v>
      </c>
      <c r="L62" s="1" t="s">
        <v>108</v>
      </c>
      <c r="M62" t="s">
        <v>11</v>
      </c>
      <c r="N62" t="s">
        <v>30</v>
      </c>
      <c r="O62" t="s">
        <v>109</v>
      </c>
      <c r="P62" t="s">
        <v>110</v>
      </c>
    </row>
    <row r="63" spans="1:16" x14ac:dyDescent="0.25">
      <c r="A63">
        <v>2015</v>
      </c>
      <c r="B63">
        <v>2</v>
      </c>
      <c r="C63" t="s">
        <v>13</v>
      </c>
      <c r="D63">
        <v>14</v>
      </c>
      <c r="E63">
        <v>8</v>
      </c>
      <c r="F63">
        <v>6</v>
      </c>
      <c r="G63">
        <v>0</v>
      </c>
      <c r="H63">
        <v>16</v>
      </c>
      <c r="I63">
        <v>-4.2999999999999997E-2</v>
      </c>
      <c r="J63" t="s">
        <v>30</v>
      </c>
      <c r="K63" t="s">
        <v>30</v>
      </c>
      <c r="L63" s="1" t="s">
        <v>30</v>
      </c>
      <c r="M63" t="s">
        <v>13</v>
      </c>
      <c r="N63" t="s">
        <v>30</v>
      </c>
      <c r="O63" t="s">
        <v>119</v>
      </c>
      <c r="P63" t="s">
        <v>120</v>
      </c>
    </row>
    <row r="64" spans="1:16" x14ac:dyDescent="0.25">
      <c r="A64">
        <v>2015</v>
      </c>
      <c r="B64">
        <v>3</v>
      </c>
      <c r="C64" t="s">
        <v>15</v>
      </c>
      <c r="D64">
        <v>14</v>
      </c>
      <c r="E64">
        <v>7</v>
      </c>
      <c r="F64">
        <v>5</v>
      </c>
      <c r="G64">
        <v>2</v>
      </c>
      <c r="H64">
        <v>16</v>
      </c>
      <c r="I64">
        <v>1.0369999999999999</v>
      </c>
      <c r="J64" t="s">
        <v>30</v>
      </c>
      <c r="K64" t="s">
        <v>108</v>
      </c>
      <c r="L64" s="1" t="s">
        <v>108</v>
      </c>
      <c r="M64" t="s">
        <v>26</v>
      </c>
      <c r="N64" t="s">
        <v>30</v>
      </c>
      <c r="O64" t="s">
        <v>124</v>
      </c>
      <c r="P64" t="s">
        <v>125</v>
      </c>
    </row>
    <row r="65" spans="1:16" x14ac:dyDescent="0.25">
      <c r="A65">
        <v>2015</v>
      </c>
      <c r="B65">
        <v>4</v>
      </c>
      <c r="C65" t="s">
        <v>9</v>
      </c>
      <c r="D65">
        <v>14</v>
      </c>
      <c r="E65">
        <v>7</v>
      </c>
      <c r="F65">
        <v>5</v>
      </c>
      <c r="G65">
        <v>2</v>
      </c>
      <c r="H65">
        <v>16</v>
      </c>
      <c r="I65">
        <v>6.2E-2</v>
      </c>
      <c r="J65" t="s">
        <v>30</v>
      </c>
      <c r="K65" t="s">
        <v>108</v>
      </c>
      <c r="L65" s="1" t="s">
        <v>108</v>
      </c>
      <c r="M65" t="s">
        <v>9</v>
      </c>
      <c r="N65" t="s">
        <v>30</v>
      </c>
      <c r="O65" t="s">
        <v>122</v>
      </c>
      <c r="P65" t="s">
        <v>123</v>
      </c>
    </row>
    <row r="66" spans="1:16" x14ac:dyDescent="0.25">
      <c r="A66">
        <v>2015</v>
      </c>
      <c r="B66">
        <v>5</v>
      </c>
      <c r="C66" t="s">
        <v>14</v>
      </c>
      <c r="D66">
        <v>14</v>
      </c>
      <c r="E66">
        <v>7</v>
      </c>
      <c r="F66">
        <v>6</v>
      </c>
      <c r="G66">
        <v>1</v>
      </c>
      <c r="H66">
        <v>15</v>
      </c>
      <c r="I66">
        <v>0.253</v>
      </c>
      <c r="K66" t="s">
        <v>108</v>
      </c>
      <c r="L66" s="1" t="s">
        <v>108</v>
      </c>
      <c r="M66" t="s">
        <v>14</v>
      </c>
      <c r="N66" t="s">
        <v>30</v>
      </c>
      <c r="O66" t="s">
        <v>115</v>
      </c>
      <c r="P66" t="s">
        <v>116</v>
      </c>
    </row>
    <row r="67" spans="1:16" x14ac:dyDescent="0.25">
      <c r="A67">
        <v>2015</v>
      </c>
      <c r="B67">
        <v>6</v>
      </c>
      <c r="C67" t="s">
        <v>19</v>
      </c>
      <c r="D67">
        <v>14</v>
      </c>
      <c r="E67">
        <v>7</v>
      </c>
      <c r="F67">
        <v>7</v>
      </c>
      <c r="G67">
        <v>0</v>
      </c>
      <c r="H67">
        <v>14</v>
      </c>
      <c r="I67">
        <v>-0.23899999999999999</v>
      </c>
      <c r="K67" t="s">
        <v>108</v>
      </c>
      <c r="L67" s="1" t="s">
        <v>108</v>
      </c>
      <c r="M67" t="s">
        <v>19</v>
      </c>
      <c r="N67" t="s">
        <v>30</v>
      </c>
      <c r="O67" t="s">
        <v>126</v>
      </c>
      <c r="P67" t="s">
        <v>127</v>
      </c>
    </row>
    <row r="68" spans="1:16" x14ac:dyDescent="0.25">
      <c r="A68">
        <v>2015</v>
      </c>
      <c r="B68">
        <v>7</v>
      </c>
      <c r="C68" t="s">
        <v>12</v>
      </c>
      <c r="D68">
        <v>14</v>
      </c>
      <c r="E68">
        <v>5</v>
      </c>
      <c r="F68">
        <v>8</v>
      </c>
      <c r="G68">
        <v>1</v>
      </c>
      <c r="H68">
        <v>11</v>
      </c>
      <c r="I68">
        <v>-4.9000000000000002E-2</v>
      </c>
      <c r="K68" t="s">
        <v>108</v>
      </c>
      <c r="L68" s="1" t="s">
        <v>108</v>
      </c>
      <c r="M68" t="s">
        <v>22</v>
      </c>
      <c r="N68" t="s">
        <v>30</v>
      </c>
      <c r="O68" t="s">
        <v>111</v>
      </c>
      <c r="P68" t="s">
        <v>112</v>
      </c>
    </row>
    <row r="69" spans="1:16" x14ac:dyDescent="0.25">
      <c r="A69">
        <v>2015</v>
      </c>
      <c r="B69">
        <v>8</v>
      </c>
      <c r="C69" t="s">
        <v>10</v>
      </c>
      <c r="D69">
        <v>14</v>
      </c>
      <c r="E69">
        <v>3</v>
      </c>
      <c r="F69">
        <v>11</v>
      </c>
      <c r="G69">
        <v>0</v>
      </c>
      <c r="H69">
        <v>6</v>
      </c>
      <c r="I69">
        <v>-1.4359999999999999</v>
      </c>
      <c r="K69" t="s">
        <v>108</v>
      </c>
      <c r="L69" s="1" t="s">
        <v>108</v>
      </c>
      <c r="M69" t="s">
        <v>23</v>
      </c>
      <c r="N69" t="s">
        <v>30</v>
      </c>
      <c r="O69" t="s">
        <v>121</v>
      </c>
      <c r="P69" t="s">
        <v>121</v>
      </c>
    </row>
    <row r="70" spans="1:16" x14ac:dyDescent="0.25">
      <c r="A70">
        <v>2016</v>
      </c>
      <c r="B70">
        <v>1</v>
      </c>
      <c r="C70" t="s">
        <v>20</v>
      </c>
      <c r="D70">
        <v>14</v>
      </c>
      <c r="E70">
        <v>9</v>
      </c>
      <c r="F70">
        <v>5</v>
      </c>
      <c r="G70">
        <v>0</v>
      </c>
      <c r="H70">
        <v>18</v>
      </c>
      <c r="I70">
        <v>-0.374</v>
      </c>
      <c r="J70" t="s">
        <v>30</v>
      </c>
      <c r="K70" t="s">
        <v>108</v>
      </c>
      <c r="L70" s="1" t="s">
        <v>108</v>
      </c>
      <c r="M70" t="s">
        <v>20</v>
      </c>
      <c r="N70" t="s">
        <v>31</v>
      </c>
      <c r="O70" t="s">
        <v>133</v>
      </c>
      <c r="P70" t="s">
        <v>114</v>
      </c>
    </row>
    <row r="71" spans="1:16" x14ac:dyDescent="0.25">
      <c r="A71">
        <v>2016</v>
      </c>
      <c r="B71">
        <v>2</v>
      </c>
      <c r="C71" t="s">
        <v>15</v>
      </c>
      <c r="D71">
        <v>14</v>
      </c>
      <c r="E71">
        <v>8</v>
      </c>
      <c r="F71">
        <v>6</v>
      </c>
      <c r="G71">
        <v>0</v>
      </c>
      <c r="H71">
        <v>16</v>
      </c>
      <c r="I71">
        <v>0.93200000000000005</v>
      </c>
      <c r="J71" t="s">
        <v>30</v>
      </c>
      <c r="K71" t="s">
        <v>30</v>
      </c>
      <c r="L71" s="1" t="s">
        <v>108</v>
      </c>
      <c r="M71" t="s">
        <v>26</v>
      </c>
      <c r="N71" t="s">
        <v>30</v>
      </c>
      <c r="O71" t="s">
        <v>124</v>
      </c>
      <c r="P71" t="s">
        <v>125</v>
      </c>
    </row>
    <row r="72" spans="1:16" x14ac:dyDescent="0.25">
      <c r="A72">
        <v>2016</v>
      </c>
      <c r="B72">
        <v>3</v>
      </c>
      <c r="C72" t="s">
        <v>19</v>
      </c>
      <c r="D72">
        <v>14</v>
      </c>
      <c r="E72">
        <v>8</v>
      </c>
      <c r="F72">
        <v>6</v>
      </c>
      <c r="G72">
        <v>0</v>
      </c>
      <c r="H72">
        <v>16</v>
      </c>
      <c r="I72">
        <v>0.245</v>
      </c>
      <c r="J72" t="s">
        <v>30</v>
      </c>
      <c r="K72" t="s">
        <v>30</v>
      </c>
      <c r="L72" s="1" t="s">
        <v>30</v>
      </c>
      <c r="M72" t="s">
        <v>19</v>
      </c>
      <c r="N72" t="s">
        <v>30</v>
      </c>
      <c r="O72" t="s">
        <v>126</v>
      </c>
      <c r="P72" t="s">
        <v>127</v>
      </c>
    </row>
    <row r="73" spans="1:16" x14ac:dyDescent="0.25">
      <c r="A73">
        <v>2016</v>
      </c>
      <c r="B73">
        <v>4</v>
      </c>
      <c r="C73" t="s">
        <v>14</v>
      </c>
      <c r="D73">
        <v>14</v>
      </c>
      <c r="E73">
        <v>8</v>
      </c>
      <c r="F73">
        <v>6</v>
      </c>
      <c r="G73">
        <v>0</v>
      </c>
      <c r="H73">
        <v>16</v>
      </c>
      <c r="I73">
        <v>0.106</v>
      </c>
      <c r="J73" t="s">
        <v>30</v>
      </c>
      <c r="K73" t="s">
        <v>108</v>
      </c>
      <c r="L73" s="1" t="s">
        <v>108</v>
      </c>
      <c r="M73" t="s">
        <v>14</v>
      </c>
      <c r="N73" t="s">
        <v>30</v>
      </c>
      <c r="O73" t="s">
        <v>115</v>
      </c>
      <c r="P73" t="s">
        <v>116</v>
      </c>
    </row>
    <row r="74" spans="1:16" x14ac:dyDescent="0.25">
      <c r="A74">
        <v>2016</v>
      </c>
      <c r="B74">
        <v>5</v>
      </c>
      <c r="C74" t="s">
        <v>13</v>
      </c>
      <c r="D74">
        <v>14</v>
      </c>
      <c r="E74">
        <v>7</v>
      </c>
      <c r="F74">
        <v>7</v>
      </c>
      <c r="G74">
        <v>0</v>
      </c>
      <c r="H74">
        <v>14</v>
      </c>
      <c r="I74">
        <v>-0.14599999999999999</v>
      </c>
      <c r="K74" t="s">
        <v>108</v>
      </c>
      <c r="L74" s="1" t="s">
        <v>108</v>
      </c>
      <c r="M74" t="s">
        <v>13</v>
      </c>
      <c r="N74" t="s">
        <v>30</v>
      </c>
      <c r="O74" t="s">
        <v>119</v>
      </c>
      <c r="P74" t="s">
        <v>120</v>
      </c>
    </row>
    <row r="75" spans="1:16" x14ac:dyDescent="0.25">
      <c r="A75">
        <v>2016</v>
      </c>
      <c r="B75">
        <v>6</v>
      </c>
      <c r="C75" t="s">
        <v>12</v>
      </c>
      <c r="D75">
        <v>14</v>
      </c>
      <c r="E75">
        <v>7</v>
      </c>
      <c r="F75">
        <v>7</v>
      </c>
      <c r="G75">
        <v>0</v>
      </c>
      <c r="H75">
        <v>14</v>
      </c>
      <c r="I75">
        <v>-0.155</v>
      </c>
      <c r="K75" t="s">
        <v>108</v>
      </c>
      <c r="L75" s="1" t="s">
        <v>108</v>
      </c>
      <c r="M75" t="s">
        <v>22</v>
      </c>
      <c r="N75" t="s">
        <v>30</v>
      </c>
      <c r="O75" t="s">
        <v>111</v>
      </c>
      <c r="P75" t="s">
        <v>112</v>
      </c>
    </row>
    <row r="76" spans="1:16" x14ac:dyDescent="0.25">
      <c r="A76">
        <v>2016</v>
      </c>
      <c r="B76">
        <v>7</v>
      </c>
      <c r="C76" t="s">
        <v>21</v>
      </c>
      <c r="D76">
        <v>14</v>
      </c>
      <c r="E76">
        <v>5</v>
      </c>
      <c r="F76">
        <v>9</v>
      </c>
      <c r="G76">
        <v>0</v>
      </c>
      <c r="H76">
        <v>10</v>
      </c>
      <c r="I76">
        <v>1.4999999999999999E-2</v>
      </c>
      <c r="K76" t="s">
        <v>108</v>
      </c>
      <c r="L76" s="1" t="s">
        <v>108</v>
      </c>
      <c r="M76" t="s">
        <v>21</v>
      </c>
      <c r="N76" t="s">
        <v>31</v>
      </c>
      <c r="O76" t="s">
        <v>132</v>
      </c>
      <c r="P76" t="s">
        <v>120</v>
      </c>
    </row>
    <row r="77" spans="1:16" x14ac:dyDescent="0.25">
      <c r="A77">
        <v>2016</v>
      </c>
      <c r="B77">
        <v>8</v>
      </c>
      <c r="C77" t="s">
        <v>10</v>
      </c>
      <c r="D77">
        <v>14</v>
      </c>
      <c r="E77">
        <v>4</v>
      </c>
      <c r="F77">
        <v>10</v>
      </c>
      <c r="G77">
        <v>0</v>
      </c>
      <c r="H77">
        <v>8</v>
      </c>
      <c r="I77">
        <v>-0.64600000000000002</v>
      </c>
      <c r="K77" t="s">
        <v>108</v>
      </c>
      <c r="L77" s="1" t="s">
        <v>108</v>
      </c>
      <c r="M77" t="s">
        <v>23</v>
      </c>
      <c r="N77" t="s">
        <v>30</v>
      </c>
      <c r="O77" t="s">
        <v>121</v>
      </c>
      <c r="P77" t="s">
        <v>121</v>
      </c>
    </row>
    <row r="78" spans="1:16" x14ac:dyDescent="0.25">
      <c r="A78">
        <v>2017</v>
      </c>
      <c r="B78">
        <v>1</v>
      </c>
      <c r="C78" t="s">
        <v>13</v>
      </c>
      <c r="D78">
        <v>14</v>
      </c>
      <c r="E78">
        <v>10</v>
      </c>
      <c r="F78">
        <v>4</v>
      </c>
      <c r="G78">
        <v>0</v>
      </c>
      <c r="H78">
        <v>20</v>
      </c>
      <c r="I78">
        <v>0.78400000000000003</v>
      </c>
      <c r="J78" t="s">
        <v>30</v>
      </c>
      <c r="K78" t="s">
        <v>30</v>
      </c>
      <c r="L78" s="1" t="s">
        <v>30</v>
      </c>
      <c r="M78" t="s">
        <v>13</v>
      </c>
      <c r="N78" t="s">
        <v>30</v>
      </c>
      <c r="O78" t="s">
        <v>119</v>
      </c>
      <c r="P78" t="s">
        <v>120</v>
      </c>
    </row>
    <row r="79" spans="1:16" x14ac:dyDescent="0.25">
      <c r="A79">
        <v>2017</v>
      </c>
      <c r="B79">
        <v>2</v>
      </c>
      <c r="C79" t="s">
        <v>21</v>
      </c>
      <c r="D79">
        <v>14</v>
      </c>
      <c r="E79">
        <v>9</v>
      </c>
      <c r="F79">
        <v>5</v>
      </c>
      <c r="G79">
        <v>0</v>
      </c>
      <c r="H79">
        <v>18</v>
      </c>
      <c r="I79">
        <v>0.17599999999999999</v>
      </c>
      <c r="J79" t="s">
        <v>30</v>
      </c>
      <c r="K79" t="s">
        <v>30</v>
      </c>
      <c r="L79" s="1" t="s">
        <v>108</v>
      </c>
      <c r="M79" t="s">
        <v>21</v>
      </c>
      <c r="N79" t="s">
        <v>31</v>
      </c>
      <c r="O79" t="s">
        <v>132</v>
      </c>
      <c r="P79" t="s">
        <v>120</v>
      </c>
    </row>
    <row r="80" spans="1:16" x14ac:dyDescent="0.25">
      <c r="A80">
        <v>2017</v>
      </c>
      <c r="B80">
        <v>3</v>
      </c>
      <c r="C80" t="s">
        <v>19</v>
      </c>
      <c r="D80">
        <v>14</v>
      </c>
      <c r="E80">
        <v>8</v>
      </c>
      <c r="F80">
        <v>5</v>
      </c>
      <c r="G80">
        <v>1</v>
      </c>
      <c r="H80">
        <v>17</v>
      </c>
      <c r="I80">
        <v>0.59899999999999998</v>
      </c>
      <c r="J80" t="s">
        <v>30</v>
      </c>
      <c r="K80" t="s">
        <v>108</v>
      </c>
      <c r="L80" s="1" t="s">
        <v>108</v>
      </c>
      <c r="M80" t="s">
        <v>19</v>
      </c>
      <c r="N80" t="s">
        <v>30</v>
      </c>
      <c r="O80" t="s">
        <v>126</v>
      </c>
      <c r="P80" t="s">
        <v>127</v>
      </c>
    </row>
    <row r="81" spans="1:16" x14ac:dyDescent="0.25">
      <c r="A81">
        <v>2017</v>
      </c>
      <c r="B81">
        <v>4</v>
      </c>
      <c r="C81" t="s">
        <v>14</v>
      </c>
      <c r="D81">
        <v>14</v>
      </c>
      <c r="E81">
        <v>8</v>
      </c>
      <c r="F81">
        <v>6</v>
      </c>
      <c r="G81">
        <v>0</v>
      </c>
      <c r="H81">
        <v>16</v>
      </c>
      <c r="I81">
        <v>0.64100000000000001</v>
      </c>
      <c r="J81" t="s">
        <v>30</v>
      </c>
      <c r="K81" t="s">
        <v>108</v>
      </c>
      <c r="L81" s="1" t="s">
        <v>108</v>
      </c>
      <c r="M81" t="s">
        <v>14</v>
      </c>
      <c r="N81" t="s">
        <v>30</v>
      </c>
      <c r="O81" t="s">
        <v>115</v>
      </c>
      <c r="P81" t="s">
        <v>116</v>
      </c>
    </row>
    <row r="82" spans="1:16" x14ac:dyDescent="0.25">
      <c r="A82">
        <v>2017</v>
      </c>
      <c r="B82">
        <v>5</v>
      </c>
      <c r="C82" t="s">
        <v>10</v>
      </c>
      <c r="D82">
        <v>14</v>
      </c>
      <c r="E82">
        <v>7</v>
      </c>
      <c r="F82">
        <v>7</v>
      </c>
      <c r="G82">
        <v>0</v>
      </c>
      <c r="H82">
        <v>14</v>
      </c>
      <c r="I82">
        <v>-8.9999999999999993E-3</v>
      </c>
      <c r="K82" t="s">
        <v>108</v>
      </c>
      <c r="L82" s="1" t="s">
        <v>108</v>
      </c>
      <c r="M82" t="s">
        <v>23</v>
      </c>
      <c r="N82" t="s">
        <v>30</v>
      </c>
      <c r="O82" t="s">
        <v>121</v>
      </c>
      <c r="P82" t="s">
        <v>121</v>
      </c>
    </row>
    <row r="83" spans="1:16" x14ac:dyDescent="0.25">
      <c r="A83">
        <v>2017</v>
      </c>
      <c r="B83">
        <v>6</v>
      </c>
      <c r="C83" t="s">
        <v>12</v>
      </c>
      <c r="D83">
        <v>14</v>
      </c>
      <c r="E83">
        <v>6</v>
      </c>
      <c r="F83">
        <v>8</v>
      </c>
      <c r="G83">
        <v>0</v>
      </c>
      <c r="H83">
        <v>12</v>
      </c>
      <c r="I83">
        <v>-0.51200000000000001</v>
      </c>
      <c r="K83" t="s">
        <v>108</v>
      </c>
      <c r="L83" s="1" t="s">
        <v>108</v>
      </c>
      <c r="M83" t="s">
        <v>22</v>
      </c>
      <c r="N83" t="s">
        <v>30</v>
      </c>
      <c r="O83" t="s">
        <v>111</v>
      </c>
      <c r="P83" t="s">
        <v>112</v>
      </c>
    </row>
    <row r="84" spans="1:16" x14ac:dyDescent="0.25">
      <c r="A84">
        <v>2017</v>
      </c>
      <c r="B84">
        <v>7</v>
      </c>
      <c r="C84" t="s">
        <v>20</v>
      </c>
      <c r="D84">
        <v>14</v>
      </c>
      <c r="E84">
        <v>4</v>
      </c>
      <c r="F84">
        <v>10</v>
      </c>
      <c r="G84">
        <v>0</v>
      </c>
      <c r="H84">
        <v>8</v>
      </c>
      <c r="I84">
        <v>-0.41199999999999998</v>
      </c>
      <c r="K84" t="s">
        <v>108</v>
      </c>
      <c r="L84" s="1" t="s">
        <v>108</v>
      </c>
      <c r="M84" t="s">
        <v>20</v>
      </c>
      <c r="N84" t="s">
        <v>31</v>
      </c>
      <c r="O84" t="s">
        <v>133</v>
      </c>
      <c r="P84" t="s">
        <v>114</v>
      </c>
    </row>
    <row r="85" spans="1:16" x14ac:dyDescent="0.25">
      <c r="A85">
        <v>2017</v>
      </c>
      <c r="B85">
        <v>8</v>
      </c>
      <c r="C85" t="s">
        <v>15</v>
      </c>
      <c r="D85">
        <v>14</v>
      </c>
      <c r="E85">
        <v>3</v>
      </c>
      <c r="F85">
        <v>10</v>
      </c>
      <c r="G85">
        <v>1</v>
      </c>
      <c r="H85">
        <v>7</v>
      </c>
      <c r="I85">
        <v>-1.2989999999999999</v>
      </c>
      <c r="K85" t="s">
        <v>108</v>
      </c>
      <c r="L85" s="1" t="s">
        <v>108</v>
      </c>
      <c r="M85" t="s">
        <v>26</v>
      </c>
      <c r="N85" t="s">
        <v>30</v>
      </c>
      <c r="O85" t="s">
        <v>124</v>
      </c>
      <c r="P85" t="s">
        <v>125</v>
      </c>
    </row>
    <row r="86" spans="1:16" x14ac:dyDescent="0.25">
      <c r="A86">
        <v>2018</v>
      </c>
      <c r="B86">
        <v>1</v>
      </c>
      <c r="C86" t="s">
        <v>19</v>
      </c>
      <c r="D86">
        <v>14</v>
      </c>
      <c r="E86">
        <v>9</v>
      </c>
      <c r="F86">
        <v>5</v>
      </c>
      <c r="G86">
        <v>0</v>
      </c>
      <c r="H86">
        <v>18</v>
      </c>
      <c r="I86">
        <v>0.28399999999999997</v>
      </c>
      <c r="J86" t="s">
        <v>30</v>
      </c>
      <c r="K86" t="s">
        <v>30</v>
      </c>
      <c r="L86" s="1" t="s">
        <v>108</v>
      </c>
      <c r="M86" t="s">
        <v>19</v>
      </c>
      <c r="N86" t="s">
        <v>30</v>
      </c>
      <c r="O86" t="s">
        <v>126</v>
      </c>
      <c r="P86" t="s">
        <v>127</v>
      </c>
    </row>
    <row r="87" spans="1:16" x14ac:dyDescent="0.25">
      <c r="A87">
        <v>2018</v>
      </c>
      <c r="B87">
        <v>2</v>
      </c>
      <c r="C87" t="s">
        <v>11</v>
      </c>
      <c r="D87">
        <v>14</v>
      </c>
      <c r="E87">
        <v>9</v>
      </c>
      <c r="F87">
        <v>5</v>
      </c>
      <c r="G87">
        <v>0</v>
      </c>
      <c r="H87">
        <v>18</v>
      </c>
      <c r="I87">
        <v>0.253</v>
      </c>
      <c r="J87" t="s">
        <v>30</v>
      </c>
      <c r="K87" t="s">
        <v>30</v>
      </c>
      <c r="L87" s="1" t="s">
        <v>30</v>
      </c>
      <c r="M87" t="s">
        <v>11</v>
      </c>
      <c r="N87" t="s">
        <v>30</v>
      </c>
      <c r="O87" t="s">
        <v>109</v>
      </c>
      <c r="P87" t="s">
        <v>110</v>
      </c>
    </row>
    <row r="88" spans="1:16" x14ac:dyDescent="0.25">
      <c r="A88">
        <v>2018</v>
      </c>
      <c r="B88">
        <v>3</v>
      </c>
      <c r="C88" t="s">
        <v>14</v>
      </c>
      <c r="D88">
        <v>14</v>
      </c>
      <c r="E88">
        <v>8</v>
      </c>
      <c r="F88">
        <v>6</v>
      </c>
      <c r="G88">
        <v>0</v>
      </c>
      <c r="H88">
        <v>16</v>
      </c>
      <c r="I88">
        <v>-7.0000000000000007E-2</v>
      </c>
      <c r="J88" t="s">
        <v>30</v>
      </c>
      <c r="K88" t="s">
        <v>108</v>
      </c>
      <c r="L88" s="1" t="s">
        <v>108</v>
      </c>
      <c r="M88" t="s">
        <v>14</v>
      </c>
      <c r="N88" t="s">
        <v>30</v>
      </c>
      <c r="O88" t="s">
        <v>115</v>
      </c>
      <c r="P88" t="s">
        <v>116</v>
      </c>
    </row>
    <row r="89" spans="1:16" x14ac:dyDescent="0.25">
      <c r="A89">
        <v>2018</v>
      </c>
      <c r="B89">
        <v>4</v>
      </c>
      <c r="C89" t="s">
        <v>9</v>
      </c>
      <c r="D89">
        <v>14</v>
      </c>
      <c r="E89">
        <v>7</v>
      </c>
      <c r="F89">
        <v>7</v>
      </c>
      <c r="G89">
        <v>0</v>
      </c>
      <c r="H89">
        <v>14</v>
      </c>
      <c r="I89">
        <v>-0.25</v>
      </c>
      <c r="J89" t="s">
        <v>30</v>
      </c>
      <c r="K89" t="s">
        <v>108</v>
      </c>
      <c r="L89" s="1" t="s">
        <v>108</v>
      </c>
      <c r="M89" t="s">
        <v>9</v>
      </c>
      <c r="N89" t="s">
        <v>30</v>
      </c>
      <c r="O89" t="s">
        <v>122</v>
      </c>
      <c r="P89" t="s">
        <v>123</v>
      </c>
    </row>
    <row r="90" spans="1:16" x14ac:dyDescent="0.25">
      <c r="A90">
        <v>2018</v>
      </c>
      <c r="B90">
        <v>5</v>
      </c>
      <c r="C90" t="s">
        <v>13</v>
      </c>
      <c r="D90">
        <v>14</v>
      </c>
      <c r="E90">
        <v>6</v>
      </c>
      <c r="F90">
        <v>8</v>
      </c>
      <c r="G90">
        <v>0</v>
      </c>
      <c r="H90">
        <v>12</v>
      </c>
      <c r="I90">
        <v>0.317</v>
      </c>
      <c r="K90" t="s">
        <v>108</v>
      </c>
      <c r="L90" s="1" t="s">
        <v>108</v>
      </c>
      <c r="M90" t="s">
        <v>13</v>
      </c>
      <c r="N90" t="s">
        <v>30</v>
      </c>
      <c r="O90" t="s">
        <v>119</v>
      </c>
      <c r="P90" t="s">
        <v>120</v>
      </c>
    </row>
    <row r="91" spans="1:16" x14ac:dyDescent="0.25">
      <c r="A91">
        <v>2018</v>
      </c>
      <c r="B91">
        <v>6</v>
      </c>
      <c r="C91" t="s">
        <v>15</v>
      </c>
      <c r="D91">
        <v>14</v>
      </c>
      <c r="E91">
        <v>6</v>
      </c>
      <c r="F91">
        <v>8</v>
      </c>
      <c r="G91">
        <v>0</v>
      </c>
      <c r="H91">
        <v>12</v>
      </c>
      <c r="I91">
        <v>0.129</v>
      </c>
      <c r="K91" t="s">
        <v>108</v>
      </c>
      <c r="L91" s="1" t="s">
        <v>108</v>
      </c>
      <c r="M91" t="s">
        <v>26</v>
      </c>
      <c r="N91" t="s">
        <v>30</v>
      </c>
      <c r="O91" t="s">
        <v>124</v>
      </c>
      <c r="P91" t="s">
        <v>125</v>
      </c>
    </row>
    <row r="92" spans="1:16" x14ac:dyDescent="0.25">
      <c r="A92">
        <v>2018</v>
      </c>
      <c r="B92">
        <v>7</v>
      </c>
      <c r="C92" t="s">
        <v>10</v>
      </c>
      <c r="D92">
        <v>14</v>
      </c>
      <c r="E92">
        <v>6</v>
      </c>
      <c r="F92">
        <v>8</v>
      </c>
      <c r="G92">
        <v>0</v>
      </c>
      <c r="H92">
        <v>12</v>
      </c>
      <c r="I92">
        <v>-0.502</v>
      </c>
      <c r="K92" t="s">
        <v>108</v>
      </c>
      <c r="L92" s="1" t="s">
        <v>108</v>
      </c>
      <c r="M92" t="s">
        <v>23</v>
      </c>
      <c r="N92" t="s">
        <v>30</v>
      </c>
      <c r="O92" t="s">
        <v>121</v>
      </c>
      <c r="P92" t="s">
        <v>121</v>
      </c>
    </row>
    <row r="93" spans="1:16" x14ac:dyDescent="0.25">
      <c r="A93">
        <v>2018</v>
      </c>
      <c r="B93">
        <v>8</v>
      </c>
      <c r="C93" t="s">
        <v>12</v>
      </c>
      <c r="D93">
        <v>14</v>
      </c>
      <c r="E93">
        <v>5</v>
      </c>
      <c r="F93">
        <v>9</v>
      </c>
      <c r="G93">
        <v>0</v>
      </c>
      <c r="H93">
        <v>10</v>
      </c>
      <c r="I93">
        <v>-0.222</v>
      </c>
      <c r="K93" t="s">
        <v>108</v>
      </c>
      <c r="L93" s="1" t="s">
        <v>108</v>
      </c>
      <c r="M93" t="s">
        <v>22</v>
      </c>
      <c r="N93" t="s">
        <v>30</v>
      </c>
      <c r="O93" t="s">
        <v>111</v>
      </c>
      <c r="P93" t="s">
        <v>112</v>
      </c>
    </row>
    <row r="94" spans="1:16" x14ac:dyDescent="0.25">
      <c r="A94">
        <v>2019</v>
      </c>
      <c r="B94">
        <v>1</v>
      </c>
      <c r="C94" t="s">
        <v>13</v>
      </c>
      <c r="D94">
        <v>14</v>
      </c>
      <c r="E94">
        <v>9</v>
      </c>
      <c r="F94">
        <v>5</v>
      </c>
      <c r="G94">
        <v>0</v>
      </c>
      <c r="H94">
        <v>18</v>
      </c>
      <c r="I94">
        <v>0.42099999999999999</v>
      </c>
      <c r="J94" t="s">
        <v>30</v>
      </c>
      <c r="K94" t="s">
        <v>30</v>
      </c>
      <c r="L94" s="1" t="s">
        <v>30</v>
      </c>
      <c r="M94" t="s">
        <v>13</v>
      </c>
      <c r="N94" t="s">
        <v>30</v>
      </c>
      <c r="O94" t="s">
        <v>119</v>
      </c>
      <c r="P94" t="s">
        <v>120</v>
      </c>
    </row>
    <row r="95" spans="1:16" x14ac:dyDescent="0.25">
      <c r="A95">
        <v>2019</v>
      </c>
      <c r="B95">
        <v>2</v>
      </c>
      <c r="C95" t="s">
        <v>11</v>
      </c>
      <c r="D95">
        <v>14</v>
      </c>
      <c r="E95">
        <v>9</v>
      </c>
      <c r="F95">
        <v>5</v>
      </c>
      <c r="G95">
        <v>0</v>
      </c>
      <c r="H95">
        <v>18</v>
      </c>
      <c r="I95">
        <v>0.13100000000000001</v>
      </c>
      <c r="J95" t="s">
        <v>30</v>
      </c>
      <c r="K95" t="s">
        <v>30</v>
      </c>
      <c r="L95" s="1" t="s">
        <v>108</v>
      </c>
      <c r="M95" t="s">
        <v>11</v>
      </c>
      <c r="N95" t="s">
        <v>30</v>
      </c>
      <c r="O95" t="s">
        <v>109</v>
      </c>
      <c r="P95" t="s">
        <v>110</v>
      </c>
    </row>
    <row r="96" spans="1:16" x14ac:dyDescent="0.25">
      <c r="A96">
        <v>2019</v>
      </c>
      <c r="B96">
        <v>3</v>
      </c>
      <c r="C96" t="s">
        <v>22</v>
      </c>
      <c r="D96">
        <v>14</v>
      </c>
      <c r="E96">
        <v>9</v>
      </c>
      <c r="F96">
        <v>5</v>
      </c>
      <c r="G96">
        <v>0</v>
      </c>
      <c r="H96">
        <v>18</v>
      </c>
      <c r="I96">
        <v>4.3999999999999997E-2</v>
      </c>
      <c r="J96" t="s">
        <v>30</v>
      </c>
      <c r="K96" t="s">
        <v>108</v>
      </c>
      <c r="L96" s="1" t="s">
        <v>108</v>
      </c>
      <c r="M96" t="s">
        <v>22</v>
      </c>
      <c r="N96" t="s">
        <v>30</v>
      </c>
      <c r="O96" t="s">
        <v>111</v>
      </c>
      <c r="P96" t="s">
        <v>112</v>
      </c>
    </row>
    <row r="97" spans="1:16" x14ac:dyDescent="0.25">
      <c r="A97">
        <v>2019</v>
      </c>
      <c r="B97">
        <v>4</v>
      </c>
      <c r="C97" t="s">
        <v>19</v>
      </c>
      <c r="D97">
        <v>14</v>
      </c>
      <c r="E97">
        <v>6</v>
      </c>
      <c r="F97">
        <v>8</v>
      </c>
      <c r="G97">
        <v>0</v>
      </c>
      <c r="H97">
        <v>12</v>
      </c>
      <c r="I97">
        <v>0.57699999999999996</v>
      </c>
      <c r="J97" t="s">
        <v>30</v>
      </c>
      <c r="K97" t="s">
        <v>108</v>
      </c>
      <c r="L97" s="1" t="s">
        <v>108</v>
      </c>
      <c r="M97" t="s">
        <v>19</v>
      </c>
      <c r="N97" t="s">
        <v>30</v>
      </c>
      <c r="O97" t="s">
        <v>126</v>
      </c>
      <c r="P97" t="s">
        <v>127</v>
      </c>
    </row>
    <row r="98" spans="1:16" x14ac:dyDescent="0.25">
      <c r="A98">
        <v>2019</v>
      </c>
      <c r="B98">
        <v>5</v>
      </c>
      <c r="C98" t="s">
        <v>14</v>
      </c>
      <c r="D98">
        <v>14</v>
      </c>
      <c r="E98">
        <v>6</v>
      </c>
      <c r="F98">
        <v>8</v>
      </c>
      <c r="G98">
        <v>0</v>
      </c>
      <c r="H98">
        <v>12</v>
      </c>
      <c r="I98">
        <v>2.8000000000000001E-2</v>
      </c>
      <c r="K98" t="s">
        <v>108</v>
      </c>
      <c r="L98" s="1" t="s">
        <v>108</v>
      </c>
      <c r="M98" t="s">
        <v>14</v>
      </c>
      <c r="N98" t="s">
        <v>30</v>
      </c>
      <c r="O98" t="s">
        <v>115</v>
      </c>
      <c r="P98" t="s">
        <v>116</v>
      </c>
    </row>
    <row r="99" spans="1:16" x14ac:dyDescent="0.25">
      <c r="A99">
        <v>2019</v>
      </c>
      <c r="B99">
        <v>6</v>
      </c>
      <c r="C99" t="s">
        <v>10</v>
      </c>
      <c r="D99">
        <v>14</v>
      </c>
      <c r="E99">
        <v>6</v>
      </c>
      <c r="F99">
        <v>8</v>
      </c>
      <c r="G99">
        <v>0</v>
      </c>
      <c r="H99">
        <v>12</v>
      </c>
      <c r="I99">
        <v>-0.251</v>
      </c>
      <c r="K99" t="s">
        <v>108</v>
      </c>
      <c r="L99" s="1" t="s">
        <v>108</v>
      </c>
      <c r="M99" t="s">
        <v>23</v>
      </c>
      <c r="N99" t="s">
        <v>30</v>
      </c>
      <c r="O99" t="s">
        <v>121</v>
      </c>
      <c r="P99" t="s">
        <v>121</v>
      </c>
    </row>
    <row r="100" spans="1:16" x14ac:dyDescent="0.25">
      <c r="A100">
        <v>2019</v>
      </c>
      <c r="B100">
        <v>7</v>
      </c>
      <c r="C100" t="s">
        <v>9</v>
      </c>
      <c r="D100">
        <v>14</v>
      </c>
      <c r="E100">
        <v>5</v>
      </c>
      <c r="F100">
        <v>8</v>
      </c>
      <c r="G100">
        <v>1</v>
      </c>
      <c r="H100">
        <v>11</v>
      </c>
      <c r="I100">
        <v>-0.44900000000000001</v>
      </c>
      <c r="K100" t="s">
        <v>108</v>
      </c>
      <c r="L100" s="1" t="s">
        <v>108</v>
      </c>
      <c r="M100" t="s">
        <v>9</v>
      </c>
      <c r="N100" t="s">
        <v>30</v>
      </c>
      <c r="O100" t="s">
        <v>122</v>
      </c>
      <c r="P100" t="s">
        <v>123</v>
      </c>
    </row>
    <row r="101" spans="1:16" x14ac:dyDescent="0.25">
      <c r="A101">
        <v>2019</v>
      </c>
      <c r="B101">
        <v>8</v>
      </c>
      <c r="C101" t="s">
        <v>15</v>
      </c>
      <c r="D101">
        <v>14</v>
      </c>
      <c r="E101">
        <v>5</v>
      </c>
      <c r="F101">
        <v>8</v>
      </c>
      <c r="G101">
        <v>1</v>
      </c>
      <c r="H101">
        <v>11</v>
      </c>
      <c r="I101">
        <v>-0.60699999999999998</v>
      </c>
      <c r="K101" t="s">
        <v>108</v>
      </c>
      <c r="L101" s="1" t="s">
        <v>108</v>
      </c>
      <c r="M101" t="s">
        <v>26</v>
      </c>
      <c r="N101" t="s">
        <v>30</v>
      </c>
      <c r="O101" t="s">
        <v>124</v>
      </c>
      <c r="P101" t="s">
        <v>125</v>
      </c>
    </row>
    <row r="102" spans="1:16" x14ac:dyDescent="0.25">
      <c r="A102">
        <v>2020</v>
      </c>
      <c r="B102">
        <v>1</v>
      </c>
      <c r="C102" t="s">
        <v>13</v>
      </c>
      <c r="D102">
        <v>14</v>
      </c>
      <c r="E102">
        <v>9</v>
      </c>
      <c r="F102">
        <v>5</v>
      </c>
      <c r="G102">
        <v>0</v>
      </c>
      <c r="H102">
        <v>18</v>
      </c>
      <c r="I102">
        <v>1.107</v>
      </c>
      <c r="J102" t="s">
        <v>30</v>
      </c>
      <c r="K102" t="s">
        <v>30</v>
      </c>
      <c r="L102" s="1" t="s">
        <v>30</v>
      </c>
      <c r="M102" t="s">
        <v>13</v>
      </c>
      <c r="N102" t="s">
        <v>30</v>
      </c>
      <c r="O102" t="s">
        <v>119</v>
      </c>
      <c r="P102" t="s">
        <v>120</v>
      </c>
    </row>
    <row r="103" spans="1:16" x14ac:dyDescent="0.25">
      <c r="A103">
        <v>2020</v>
      </c>
      <c r="B103">
        <v>2</v>
      </c>
      <c r="C103" t="s">
        <v>22</v>
      </c>
      <c r="D103">
        <v>14</v>
      </c>
      <c r="E103">
        <v>8</v>
      </c>
      <c r="F103">
        <v>6</v>
      </c>
      <c r="G103">
        <v>0</v>
      </c>
      <c r="H103">
        <v>16</v>
      </c>
      <c r="I103">
        <v>-0.109</v>
      </c>
      <c r="J103" t="s">
        <v>30</v>
      </c>
      <c r="K103" t="s">
        <v>30</v>
      </c>
      <c r="L103" s="1" t="s">
        <v>108</v>
      </c>
      <c r="M103" t="s">
        <v>22</v>
      </c>
      <c r="N103" t="s">
        <v>30</v>
      </c>
      <c r="O103" t="s">
        <v>111</v>
      </c>
      <c r="P103" t="s">
        <v>112</v>
      </c>
    </row>
    <row r="104" spans="1:16" x14ac:dyDescent="0.25">
      <c r="A104">
        <v>2020</v>
      </c>
      <c r="B104">
        <v>3</v>
      </c>
      <c r="C104" t="s">
        <v>19</v>
      </c>
      <c r="D104">
        <v>14</v>
      </c>
      <c r="E104">
        <v>7</v>
      </c>
      <c r="F104">
        <v>7</v>
      </c>
      <c r="G104">
        <v>0</v>
      </c>
      <c r="H104">
        <v>14</v>
      </c>
      <c r="I104">
        <v>0.60799999999999998</v>
      </c>
      <c r="J104" t="s">
        <v>30</v>
      </c>
      <c r="K104" t="s">
        <v>108</v>
      </c>
      <c r="L104" s="1" t="s">
        <v>108</v>
      </c>
      <c r="M104" t="s">
        <v>19</v>
      </c>
      <c r="N104" t="s">
        <v>30</v>
      </c>
      <c r="O104" t="s">
        <v>126</v>
      </c>
      <c r="P104" t="s">
        <v>127</v>
      </c>
    </row>
    <row r="105" spans="1:16" x14ac:dyDescent="0.25">
      <c r="A105">
        <v>2020</v>
      </c>
      <c r="B105">
        <v>4</v>
      </c>
      <c r="C105" t="s">
        <v>15</v>
      </c>
      <c r="D105">
        <v>14</v>
      </c>
      <c r="E105">
        <v>7</v>
      </c>
      <c r="F105">
        <v>7</v>
      </c>
      <c r="G105">
        <v>0</v>
      </c>
      <c r="H105">
        <v>14</v>
      </c>
      <c r="I105">
        <v>-0.17199999999999999</v>
      </c>
      <c r="J105" t="s">
        <v>30</v>
      </c>
      <c r="K105" t="s">
        <v>108</v>
      </c>
      <c r="L105" s="1" t="s">
        <v>108</v>
      </c>
      <c r="M105" t="s">
        <v>26</v>
      </c>
      <c r="N105" t="s">
        <v>30</v>
      </c>
      <c r="O105" t="s">
        <v>124</v>
      </c>
      <c r="P105" t="s">
        <v>125</v>
      </c>
    </row>
    <row r="106" spans="1:16" x14ac:dyDescent="0.25">
      <c r="A106">
        <v>2020</v>
      </c>
      <c r="B106">
        <v>5</v>
      </c>
      <c r="C106" t="s">
        <v>14</v>
      </c>
      <c r="D106">
        <v>14</v>
      </c>
      <c r="E106">
        <v>7</v>
      </c>
      <c r="F106">
        <v>7</v>
      </c>
      <c r="G106">
        <v>0</v>
      </c>
      <c r="H106">
        <v>14</v>
      </c>
      <c r="I106">
        <v>-0.214</v>
      </c>
      <c r="K106" t="s">
        <v>108</v>
      </c>
      <c r="L106" s="1" t="s">
        <v>108</v>
      </c>
      <c r="M106" t="s">
        <v>14</v>
      </c>
      <c r="N106" t="s">
        <v>30</v>
      </c>
      <c r="O106" t="s">
        <v>115</v>
      </c>
      <c r="P106" t="s">
        <v>116</v>
      </c>
    </row>
    <row r="107" spans="1:16" x14ac:dyDescent="0.25">
      <c r="A107">
        <v>2020</v>
      </c>
      <c r="B107">
        <v>6</v>
      </c>
      <c r="C107" t="s">
        <v>10</v>
      </c>
      <c r="D107">
        <v>14</v>
      </c>
      <c r="E107">
        <v>6</v>
      </c>
      <c r="F107">
        <v>8</v>
      </c>
      <c r="G107">
        <v>0</v>
      </c>
      <c r="H107">
        <v>12</v>
      </c>
      <c r="I107">
        <v>-0.16200000000000001</v>
      </c>
      <c r="K107" t="s">
        <v>108</v>
      </c>
      <c r="L107" s="1" t="s">
        <v>108</v>
      </c>
      <c r="M107" t="s">
        <v>23</v>
      </c>
      <c r="N107" t="s">
        <v>30</v>
      </c>
      <c r="O107" t="s">
        <v>121</v>
      </c>
      <c r="P107" t="s">
        <v>121</v>
      </c>
    </row>
    <row r="108" spans="1:16" x14ac:dyDescent="0.25">
      <c r="A108">
        <v>2020</v>
      </c>
      <c r="B108">
        <v>7</v>
      </c>
      <c r="C108" t="s">
        <v>11</v>
      </c>
      <c r="D108">
        <v>14</v>
      </c>
      <c r="E108">
        <v>6</v>
      </c>
      <c r="F108">
        <v>8</v>
      </c>
      <c r="G108">
        <v>0</v>
      </c>
      <c r="H108">
        <v>12</v>
      </c>
      <c r="I108">
        <v>-0.45500000000000002</v>
      </c>
      <c r="K108" t="s">
        <v>108</v>
      </c>
      <c r="L108" s="1" t="s">
        <v>108</v>
      </c>
      <c r="M108" t="s">
        <v>11</v>
      </c>
      <c r="N108" t="s">
        <v>30</v>
      </c>
      <c r="O108" t="s">
        <v>109</v>
      </c>
      <c r="P108" t="s">
        <v>110</v>
      </c>
    </row>
    <row r="109" spans="1:16" x14ac:dyDescent="0.25">
      <c r="A109">
        <v>2020</v>
      </c>
      <c r="B109">
        <v>8</v>
      </c>
      <c r="C109" t="s">
        <v>9</v>
      </c>
      <c r="D109">
        <v>14</v>
      </c>
      <c r="E109">
        <v>6</v>
      </c>
      <c r="F109">
        <v>8</v>
      </c>
      <c r="G109">
        <v>0</v>
      </c>
      <c r="H109">
        <v>12</v>
      </c>
      <c r="I109">
        <v>-0.56899999999999995</v>
      </c>
      <c r="K109" t="s">
        <v>108</v>
      </c>
      <c r="L109" s="1" t="s">
        <v>108</v>
      </c>
      <c r="M109" t="s">
        <v>9</v>
      </c>
      <c r="N109" t="s">
        <v>30</v>
      </c>
      <c r="O109" t="s">
        <v>122</v>
      </c>
      <c r="P109" t="s">
        <v>123</v>
      </c>
    </row>
    <row r="110" spans="1:16" x14ac:dyDescent="0.25">
      <c r="A110">
        <v>2021</v>
      </c>
      <c r="B110">
        <v>1</v>
      </c>
      <c r="C110" t="s">
        <v>22</v>
      </c>
      <c r="D110">
        <v>14</v>
      </c>
      <c r="E110">
        <v>10</v>
      </c>
      <c r="F110">
        <v>4</v>
      </c>
      <c r="G110">
        <v>0</v>
      </c>
      <c r="H110">
        <v>20</v>
      </c>
      <c r="I110">
        <v>0.48099999999999998</v>
      </c>
      <c r="J110" t="s">
        <v>30</v>
      </c>
      <c r="K110" t="s">
        <v>108</v>
      </c>
      <c r="L110" s="1" t="s">
        <v>108</v>
      </c>
      <c r="M110" t="s">
        <v>22</v>
      </c>
      <c r="N110" t="s">
        <v>30</v>
      </c>
      <c r="O110" t="s">
        <v>111</v>
      </c>
      <c r="P110" t="s">
        <v>112</v>
      </c>
    </row>
    <row r="111" spans="1:16" x14ac:dyDescent="0.25">
      <c r="A111">
        <v>2021</v>
      </c>
      <c r="B111">
        <v>2</v>
      </c>
      <c r="C111" t="s">
        <v>11</v>
      </c>
      <c r="D111">
        <v>14</v>
      </c>
      <c r="E111">
        <v>9</v>
      </c>
      <c r="F111">
        <v>5</v>
      </c>
      <c r="G111">
        <v>0</v>
      </c>
      <c r="H111">
        <v>18</v>
      </c>
      <c r="I111">
        <v>0.45500000000000002</v>
      </c>
      <c r="J111" t="s">
        <v>30</v>
      </c>
      <c r="K111" t="s">
        <v>30</v>
      </c>
      <c r="L111" s="1" t="s">
        <v>30</v>
      </c>
      <c r="M111" t="s">
        <v>11</v>
      </c>
      <c r="N111" t="s">
        <v>30</v>
      </c>
      <c r="O111" t="s">
        <v>109</v>
      </c>
      <c r="P111" t="s">
        <v>110</v>
      </c>
    </row>
    <row r="112" spans="1:16" x14ac:dyDescent="0.25">
      <c r="A112">
        <v>2021</v>
      </c>
      <c r="B112">
        <v>3</v>
      </c>
      <c r="C112" t="s">
        <v>15</v>
      </c>
      <c r="D112">
        <v>14</v>
      </c>
      <c r="E112">
        <v>9</v>
      </c>
      <c r="F112">
        <v>5</v>
      </c>
      <c r="G112">
        <v>0</v>
      </c>
      <c r="H112">
        <v>18</v>
      </c>
      <c r="I112">
        <v>-0.14000000000000001</v>
      </c>
      <c r="J112" t="s">
        <v>30</v>
      </c>
      <c r="K112" t="s">
        <v>108</v>
      </c>
      <c r="L112" s="1" t="s">
        <v>108</v>
      </c>
      <c r="M112" t="s">
        <v>26</v>
      </c>
      <c r="N112" t="s">
        <v>30</v>
      </c>
      <c r="O112" t="s">
        <v>124</v>
      </c>
      <c r="P112" t="s">
        <v>125</v>
      </c>
    </row>
    <row r="113" spans="1:16" x14ac:dyDescent="0.25">
      <c r="A113">
        <v>2021</v>
      </c>
      <c r="B113">
        <v>4</v>
      </c>
      <c r="C113" t="s">
        <v>14</v>
      </c>
      <c r="D113">
        <v>14</v>
      </c>
      <c r="E113">
        <v>7</v>
      </c>
      <c r="F113">
        <v>7</v>
      </c>
      <c r="G113">
        <v>0</v>
      </c>
      <c r="H113">
        <v>14</v>
      </c>
      <c r="I113">
        <v>0.58699999999999997</v>
      </c>
      <c r="J113" t="s">
        <v>30</v>
      </c>
      <c r="K113" t="s">
        <v>30</v>
      </c>
      <c r="L113" s="1" t="s">
        <v>108</v>
      </c>
      <c r="M113" t="s">
        <v>14</v>
      </c>
      <c r="N113" t="s">
        <v>30</v>
      </c>
      <c r="O113" t="s">
        <v>115</v>
      </c>
      <c r="P113" t="s">
        <v>116</v>
      </c>
    </row>
    <row r="114" spans="1:16" x14ac:dyDescent="0.25">
      <c r="A114">
        <v>2021</v>
      </c>
      <c r="B114">
        <v>5</v>
      </c>
      <c r="C114" t="s">
        <v>13</v>
      </c>
      <c r="D114">
        <v>14</v>
      </c>
      <c r="E114">
        <v>7</v>
      </c>
      <c r="F114">
        <v>7</v>
      </c>
      <c r="G114">
        <v>0</v>
      </c>
      <c r="H114">
        <v>14</v>
      </c>
      <c r="I114">
        <v>0.11600000000000001</v>
      </c>
      <c r="K114" t="s">
        <v>108</v>
      </c>
      <c r="L114" s="1" t="s">
        <v>108</v>
      </c>
      <c r="M114" t="s">
        <v>13</v>
      </c>
      <c r="N114" t="s">
        <v>30</v>
      </c>
      <c r="O114" t="s">
        <v>119</v>
      </c>
      <c r="P114" t="s">
        <v>120</v>
      </c>
    </row>
    <row r="115" spans="1:16" x14ac:dyDescent="0.25">
      <c r="A115">
        <v>2021</v>
      </c>
      <c r="B115">
        <v>6</v>
      </c>
      <c r="C115" t="s">
        <v>23</v>
      </c>
      <c r="D115">
        <v>14</v>
      </c>
      <c r="E115">
        <v>6</v>
      </c>
      <c r="F115">
        <v>8</v>
      </c>
      <c r="G115">
        <v>0</v>
      </c>
      <c r="H115">
        <v>12</v>
      </c>
      <c r="I115">
        <v>-1E-3</v>
      </c>
      <c r="K115" t="s">
        <v>108</v>
      </c>
      <c r="L115" s="1" t="s">
        <v>108</v>
      </c>
      <c r="M115" t="s">
        <v>23</v>
      </c>
      <c r="N115" t="s">
        <v>30</v>
      </c>
      <c r="O115" t="s">
        <v>121</v>
      </c>
      <c r="P115" t="s">
        <v>121</v>
      </c>
    </row>
    <row r="116" spans="1:16" x14ac:dyDescent="0.25">
      <c r="A116">
        <v>2021</v>
      </c>
      <c r="B116">
        <v>7</v>
      </c>
      <c r="C116" t="s">
        <v>9</v>
      </c>
      <c r="D116">
        <v>14</v>
      </c>
      <c r="E116">
        <v>5</v>
      </c>
      <c r="F116">
        <v>9</v>
      </c>
      <c r="G116">
        <v>0</v>
      </c>
      <c r="H116">
        <v>10</v>
      </c>
      <c r="I116">
        <v>-0.99299999999999999</v>
      </c>
      <c r="K116" t="s">
        <v>108</v>
      </c>
      <c r="L116" s="1" t="s">
        <v>108</v>
      </c>
      <c r="M116" t="s">
        <v>9</v>
      </c>
      <c r="N116" t="s">
        <v>30</v>
      </c>
      <c r="O116" t="s">
        <v>122</v>
      </c>
      <c r="P116" t="s">
        <v>123</v>
      </c>
    </row>
    <row r="117" spans="1:16" x14ac:dyDescent="0.25">
      <c r="A117">
        <v>2021</v>
      </c>
      <c r="B117">
        <v>8</v>
      </c>
      <c r="C117" t="s">
        <v>19</v>
      </c>
      <c r="D117">
        <v>14</v>
      </c>
      <c r="E117">
        <v>3</v>
      </c>
      <c r="F117">
        <v>11</v>
      </c>
      <c r="G117">
        <v>0</v>
      </c>
      <c r="H117">
        <v>6</v>
      </c>
      <c r="I117">
        <v>-0.54500000000000004</v>
      </c>
      <c r="K117" t="s">
        <v>108</v>
      </c>
      <c r="L117" s="1" t="s">
        <v>108</v>
      </c>
      <c r="M117" t="s">
        <v>19</v>
      </c>
      <c r="N117" t="s">
        <v>30</v>
      </c>
      <c r="O117" t="s">
        <v>126</v>
      </c>
      <c r="P117" t="s">
        <v>127</v>
      </c>
    </row>
    <row r="118" spans="1:16" x14ac:dyDescent="0.25">
      <c r="A118">
        <v>2022</v>
      </c>
      <c r="B118">
        <v>1</v>
      </c>
      <c r="C118" t="s">
        <v>24</v>
      </c>
      <c r="D118">
        <v>14</v>
      </c>
      <c r="E118">
        <v>10</v>
      </c>
      <c r="F118">
        <v>4</v>
      </c>
      <c r="G118">
        <v>0</v>
      </c>
      <c r="H118">
        <v>20</v>
      </c>
      <c r="I118">
        <v>0.316</v>
      </c>
      <c r="J118" t="s">
        <v>30</v>
      </c>
      <c r="K118" t="s">
        <v>30</v>
      </c>
      <c r="L118" s="1" t="s">
        <v>30</v>
      </c>
      <c r="M118" t="s">
        <v>24</v>
      </c>
      <c r="N118" t="s">
        <v>30</v>
      </c>
      <c r="O118" t="s">
        <v>113</v>
      </c>
      <c r="P118" t="s">
        <v>114</v>
      </c>
    </row>
    <row r="119" spans="1:16" x14ac:dyDescent="0.25">
      <c r="A119">
        <v>2022</v>
      </c>
      <c r="B119">
        <v>2</v>
      </c>
      <c r="C119" t="s">
        <v>9</v>
      </c>
      <c r="D119">
        <v>14</v>
      </c>
      <c r="E119">
        <v>9</v>
      </c>
      <c r="F119">
        <v>5</v>
      </c>
      <c r="G119">
        <v>0</v>
      </c>
      <c r="H119">
        <v>18</v>
      </c>
      <c r="I119">
        <v>0.29799999999999999</v>
      </c>
      <c r="J119" t="s">
        <v>30</v>
      </c>
      <c r="K119" t="s">
        <v>30</v>
      </c>
      <c r="L119" s="1" t="s">
        <v>108</v>
      </c>
      <c r="M119" t="s">
        <v>9</v>
      </c>
      <c r="N119" t="s">
        <v>30</v>
      </c>
      <c r="O119" t="s">
        <v>122</v>
      </c>
      <c r="P119" t="s">
        <v>123</v>
      </c>
    </row>
    <row r="120" spans="1:16" x14ac:dyDescent="0.25">
      <c r="A120">
        <v>2022</v>
      </c>
      <c r="B120">
        <v>3</v>
      </c>
      <c r="C120" t="s">
        <v>25</v>
      </c>
      <c r="D120">
        <v>14</v>
      </c>
      <c r="E120">
        <v>9</v>
      </c>
      <c r="F120">
        <v>5</v>
      </c>
      <c r="G120">
        <v>0</v>
      </c>
      <c r="H120">
        <v>18</v>
      </c>
      <c r="I120">
        <v>0.251</v>
      </c>
      <c r="J120" t="s">
        <v>30</v>
      </c>
      <c r="K120" t="s">
        <v>108</v>
      </c>
      <c r="L120" s="1" t="s">
        <v>108</v>
      </c>
      <c r="M120" t="s">
        <v>25</v>
      </c>
      <c r="N120" t="s">
        <v>30</v>
      </c>
      <c r="O120" t="s">
        <v>117</v>
      </c>
      <c r="P120" t="s">
        <v>118</v>
      </c>
    </row>
    <row r="121" spans="1:16" x14ac:dyDescent="0.25">
      <c r="A121">
        <v>2022</v>
      </c>
      <c r="B121">
        <v>4</v>
      </c>
      <c r="C121" t="s">
        <v>15</v>
      </c>
      <c r="D121">
        <v>14</v>
      </c>
      <c r="E121">
        <v>8</v>
      </c>
      <c r="F121">
        <v>6</v>
      </c>
      <c r="G121">
        <v>0</v>
      </c>
      <c r="H121">
        <v>16</v>
      </c>
      <c r="I121">
        <v>-0.253</v>
      </c>
      <c r="J121" t="s">
        <v>30</v>
      </c>
      <c r="K121" t="s">
        <v>108</v>
      </c>
      <c r="L121" s="1" t="s">
        <v>108</v>
      </c>
      <c r="M121" t="s">
        <v>26</v>
      </c>
      <c r="N121" t="s">
        <v>30</v>
      </c>
      <c r="O121" t="s">
        <v>124</v>
      </c>
      <c r="P121" t="s">
        <v>125</v>
      </c>
    </row>
    <row r="122" spans="1:16" x14ac:dyDescent="0.25">
      <c r="A122">
        <v>2022</v>
      </c>
      <c r="B122">
        <v>5</v>
      </c>
      <c r="C122" t="s">
        <v>22</v>
      </c>
      <c r="D122">
        <v>14</v>
      </c>
      <c r="E122">
        <v>7</v>
      </c>
      <c r="F122">
        <v>7</v>
      </c>
      <c r="G122">
        <v>0</v>
      </c>
      <c r="H122">
        <v>14</v>
      </c>
      <c r="I122">
        <v>0.20399999999999999</v>
      </c>
      <c r="K122" t="s">
        <v>108</v>
      </c>
      <c r="L122" s="1" t="s">
        <v>108</v>
      </c>
      <c r="M122" t="s">
        <v>22</v>
      </c>
      <c r="N122" t="s">
        <v>30</v>
      </c>
      <c r="O122" t="s">
        <v>111</v>
      </c>
      <c r="P122" t="s">
        <v>112</v>
      </c>
    </row>
    <row r="123" spans="1:16" x14ac:dyDescent="0.25">
      <c r="A123">
        <v>2022</v>
      </c>
      <c r="B123">
        <v>6</v>
      </c>
      <c r="C123" t="s">
        <v>23</v>
      </c>
      <c r="D123">
        <v>14</v>
      </c>
      <c r="E123">
        <v>7</v>
      </c>
      <c r="F123">
        <v>7</v>
      </c>
      <c r="G123">
        <v>0</v>
      </c>
      <c r="H123">
        <v>14</v>
      </c>
      <c r="I123">
        <v>0.126</v>
      </c>
      <c r="K123" t="s">
        <v>108</v>
      </c>
      <c r="L123" s="1" t="s">
        <v>108</v>
      </c>
      <c r="M123" t="s">
        <v>23</v>
      </c>
      <c r="N123" t="s">
        <v>30</v>
      </c>
      <c r="O123" t="s">
        <v>121</v>
      </c>
      <c r="P123" t="s">
        <v>121</v>
      </c>
    </row>
    <row r="124" spans="1:16" x14ac:dyDescent="0.25">
      <c r="A124">
        <v>2022</v>
      </c>
      <c r="B124">
        <v>7</v>
      </c>
      <c r="C124" t="s">
        <v>14</v>
      </c>
      <c r="D124">
        <v>14</v>
      </c>
      <c r="E124">
        <v>6</v>
      </c>
      <c r="F124">
        <v>8</v>
      </c>
      <c r="G124">
        <v>0</v>
      </c>
      <c r="H124">
        <v>12</v>
      </c>
      <c r="I124">
        <v>0.14599999999999999</v>
      </c>
      <c r="K124" t="s">
        <v>108</v>
      </c>
      <c r="L124" s="1" t="s">
        <v>108</v>
      </c>
      <c r="M124" t="s">
        <v>14</v>
      </c>
      <c r="N124" t="s">
        <v>30</v>
      </c>
      <c r="O124" t="s">
        <v>115</v>
      </c>
      <c r="P124" t="s">
        <v>116</v>
      </c>
    </row>
    <row r="125" spans="1:16" x14ac:dyDescent="0.25">
      <c r="A125">
        <v>2022</v>
      </c>
      <c r="B125">
        <v>8</v>
      </c>
      <c r="C125" t="s">
        <v>19</v>
      </c>
      <c r="D125">
        <v>14</v>
      </c>
      <c r="E125">
        <v>6</v>
      </c>
      <c r="F125">
        <v>8</v>
      </c>
      <c r="G125">
        <v>0</v>
      </c>
      <c r="H125">
        <v>12</v>
      </c>
      <c r="I125">
        <v>-0.379</v>
      </c>
      <c r="K125" t="s">
        <v>108</v>
      </c>
      <c r="L125" s="1" t="s">
        <v>108</v>
      </c>
      <c r="M125" t="s">
        <v>19</v>
      </c>
      <c r="N125" t="s">
        <v>30</v>
      </c>
      <c r="O125" t="s">
        <v>126</v>
      </c>
      <c r="P125" t="s">
        <v>127</v>
      </c>
    </row>
    <row r="126" spans="1:16" x14ac:dyDescent="0.25">
      <c r="A126">
        <v>2022</v>
      </c>
      <c r="B126">
        <v>9</v>
      </c>
      <c r="C126" t="s">
        <v>11</v>
      </c>
      <c r="D126">
        <v>14</v>
      </c>
      <c r="E126">
        <v>4</v>
      </c>
      <c r="F126">
        <v>10</v>
      </c>
      <c r="G126">
        <v>0</v>
      </c>
      <c r="H126">
        <v>8</v>
      </c>
      <c r="I126">
        <v>-0.20300000000000001</v>
      </c>
      <c r="K126" t="s">
        <v>108</v>
      </c>
      <c r="L126" s="1" t="s">
        <v>108</v>
      </c>
      <c r="M126" t="s">
        <v>11</v>
      </c>
      <c r="N126" t="s">
        <v>30</v>
      </c>
      <c r="O126" t="s">
        <v>109</v>
      </c>
      <c r="P126" t="s">
        <v>110</v>
      </c>
    </row>
    <row r="127" spans="1:16" x14ac:dyDescent="0.25">
      <c r="A127">
        <v>2022</v>
      </c>
      <c r="B127">
        <v>10</v>
      </c>
      <c r="C127" t="s">
        <v>13</v>
      </c>
      <c r="D127">
        <v>14</v>
      </c>
      <c r="E127">
        <v>4</v>
      </c>
      <c r="F127">
        <v>10</v>
      </c>
      <c r="G127">
        <v>0</v>
      </c>
      <c r="H127">
        <v>8</v>
      </c>
      <c r="I127">
        <v>-0.50600000000000001</v>
      </c>
      <c r="K127" t="s">
        <v>108</v>
      </c>
      <c r="L127" s="1" t="s">
        <v>108</v>
      </c>
      <c r="M127" t="s">
        <v>13</v>
      </c>
      <c r="N127" t="s">
        <v>30</v>
      </c>
      <c r="O127" t="s">
        <v>119</v>
      </c>
      <c r="P127" t="s">
        <v>120</v>
      </c>
    </row>
    <row r="128" spans="1:16" x14ac:dyDescent="0.25">
      <c r="A128">
        <v>2023</v>
      </c>
      <c r="B128">
        <v>1</v>
      </c>
      <c r="C128" t="s">
        <v>24</v>
      </c>
      <c r="D128">
        <v>14</v>
      </c>
      <c r="E128">
        <v>10</v>
      </c>
      <c r="F128">
        <v>4</v>
      </c>
      <c r="G128">
        <v>0</v>
      </c>
      <c r="H128">
        <v>20</v>
      </c>
      <c r="I128">
        <v>0.80900000000000005</v>
      </c>
      <c r="J128" t="s">
        <v>30</v>
      </c>
      <c r="K128" t="s">
        <v>30</v>
      </c>
      <c r="L128" s="1" t="s">
        <v>108</v>
      </c>
      <c r="M128" t="s">
        <v>24</v>
      </c>
      <c r="N128" t="s">
        <v>30</v>
      </c>
      <c r="O128" t="s">
        <v>113</v>
      </c>
      <c r="P128" t="s">
        <v>114</v>
      </c>
    </row>
    <row r="129" spans="1:16" x14ac:dyDescent="0.25">
      <c r="A129">
        <v>2023</v>
      </c>
      <c r="B129">
        <v>2</v>
      </c>
      <c r="C129" t="s">
        <v>11</v>
      </c>
      <c r="D129">
        <v>14</v>
      </c>
      <c r="E129">
        <v>8</v>
      </c>
      <c r="F129">
        <v>5</v>
      </c>
      <c r="G129">
        <v>1</v>
      </c>
      <c r="H129">
        <v>17</v>
      </c>
      <c r="I129">
        <v>0.65200000000000002</v>
      </c>
      <c r="J129" t="s">
        <v>30</v>
      </c>
      <c r="K129" t="s">
        <v>30</v>
      </c>
      <c r="L129" s="1" t="s">
        <v>30</v>
      </c>
      <c r="M129" t="s">
        <v>11</v>
      </c>
      <c r="N129" t="s">
        <v>30</v>
      </c>
      <c r="O129" t="s">
        <v>109</v>
      </c>
      <c r="P129" t="s">
        <v>110</v>
      </c>
    </row>
    <row r="130" spans="1:16" x14ac:dyDescent="0.25">
      <c r="A130">
        <v>2023</v>
      </c>
      <c r="B130">
        <v>3</v>
      </c>
      <c r="C130" t="s">
        <v>25</v>
      </c>
      <c r="D130">
        <v>14</v>
      </c>
      <c r="E130">
        <v>8</v>
      </c>
      <c r="F130">
        <v>5</v>
      </c>
      <c r="G130">
        <v>1</v>
      </c>
      <c r="H130">
        <v>17</v>
      </c>
      <c r="I130">
        <v>0.28399999999999997</v>
      </c>
      <c r="J130" t="s">
        <v>30</v>
      </c>
      <c r="K130" t="s">
        <v>108</v>
      </c>
      <c r="L130" s="1" t="s">
        <v>108</v>
      </c>
      <c r="M130" t="s">
        <v>25</v>
      </c>
      <c r="N130" t="s">
        <v>30</v>
      </c>
      <c r="O130" t="s">
        <v>117</v>
      </c>
      <c r="P130" t="s">
        <v>118</v>
      </c>
    </row>
    <row r="131" spans="1:16" x14ac:dyDescent="0.25">
      <c r="A131">
        <v>2023</v>
      </c>
      <c r="B131">
        <v>4</v>
      </c>
      <c r="C131" t="s">
        <v>13</v>
      </c>
      <c r="D131">
        <v>14</v>
      </c>
      <c r="E131">
        <v>8</v>
      </c>
      <c r="F131">
        <v>6</v>
      </c>
      <c r="G131">
        <v>0</v>
      </c>
      <c r="H131">
        <v>16</v>
      </c>
      <c r="I131">
        <v>-4.3999999999999997E-2</v>
      </c>
      <c r="J131" t="s">
        <v>30</v>
      </c>
      <c r="K131" t="s">
        <v>108</v>
      </c>
      <c r="L131" s="1" t="s">
        <v>108</v>
      </c>
      <c r="M131" t="s">
        <v>13</v>
      </c>
      <c r="N131" t="s">
        <v>30</v>
      </c>
      <c r="O131" t="s">
        <v>119</v>
      </c>
      <c r="P131" t="s">
        <v>120</v>
      </c>
    </row>
    <row r="132" spans="1:16" x14ac:dyDescent="0.25">
      <c r="A132">
        <v>2023</v>
      </c>
      <c r="B132">
        <v>5</v>
      </c>
      <c r="C132" t="s">
        <v>9</v>
      </c>
      <c r="D132">
        <v>14</v>
      </c>
      <c r="E132">
        <v>7</v>
      </c>
      <c r="F132">
        <v>7</v>
      </c>
      <c r="G132">
        <v>0</v>
      </c>
      <c r="H132">
        <v>14</v>
      </c>
      <c r="I132">
        <v>0.14799999999999999</v>
      </c>
      <c r="K132" t="s">
        <v>108</v>
      </c>
      <c r="L132" s="1" t="s">
        <v>108</v>
      </c>
      <c r="M132" t="s">
        <v>9</v>
      </c>
      <c r="N132" t="s">
        <v>30</v>
      </c>
      <c r="O132" t="s">
        <v>122</v>
      </c>
      <c r="P132" t="s">
        <v>123</v>
      </c>
    </row>
    <row r="133" spans="1:16" x14ac:dyDescent="0.25">
      <c r="A133">
        <v>2023</v>
      </c>
      <c r="B133">
        <v>6</v>
      </c>
      <c r="C133" t="s">
        <v>15</v>
      </c>
      <c r="D133">
        <v>14</v>
      </c>
      <c r="E133">
        <v>7</v>
      </c>
      <c r="F133">
        <v>7</v>
      </c>
      <c r="G133">
        <v>0</v>
      </c>
      <c r="H133">
        <v>14</v>
      </c>
      <c r="I133">
        <v>0.13500000000000001</v>
      </c>
      <c r="K133" t="s">
        <v>108</v>
      </c>
      <c r="L133" s="1" t="s">
        <v>108</v>
      </c>
      <c r="M133" t="s">
        <v>26</v>
      </c>
      <c r="N133" t="s">
        <v>30</v>
      </c>
      <c r="O133" t="s">
        <v>124</v>
      </c>
      <c r="P133" t="s">
        <v>125</v>
      </c>
    </row>
    <row r="134" spans="1:16" x14ac:dyDescent="0.25">
      <c r="A134">
        <v>2023</v>
      </c>
      <c r="B134">
        <v>7</v>
      </c>
      <c r="C134" t="s">
        <v>14</v>
      </c>
      <c r="D134">
        <v>14</v>
      </c>
      <c r="E134">
        <v>6</v>
      </c>
      <c r="F134">
        <v>8</v>
      </c>
      <c r="G134">
        <v>0</v>
      </c>
      <c r="H134">
        <v>12</v>
      </c>
      <c r="I134">
        <v>-0.23899999999999999</v>
      </c>
      <c r="K134" t="s">
        <v>108</v>
      </c>
      <c r="L134" s="1" t="s">
        <v>108</v>
      </c>
      <c r="M134" t="s">
        <v>14</v>
      </c>
      <c r="N134" t="s">
        <v>30</v>
      </c>
      <c r="O134" t="s">
        <v>115</v>
      </c>
      <c r="P134" t="s">
        <v>116</v>
      </c>
    </row>
    <row r="135" spans="1:16" x14ac:dyDescent="0.25">
      <c r="A135">
        <v>2023</v>
      </c>
      <c r="B135">
        <v>8</v>
      </c>
      <c r="C135" t="s">
        <v>23</v>
      </c>
      <c r="D135">
        <v>14</v>
      </c>
      <c r="E135">
        <v>6</v>
      </c>
      <c r="F135">
        <v>8</v>
      </c>
      <c r="G135">
        <v>0</v>
      </c>
      <c r="H135">
        <v>12</v>
      </c>
      <c r="I135">
        <v>-0.30399999999999999</v>
      </c>
      <c r="K135" t="s">
        <v>108</v>
      </c>
      <c r="L135" s="1" t="s">
        <v>108</v>
      </c>
      <c r="M135" t="s">
        <v>23</v>
      </c>
      <c r="N135" t="s">
        <v>30</v>
      </c>
      <c r="O135" t="s">
        <v>121</v>
      </c>
      <c r="P135" t="s">
        <v>121</v>
      </c>
    </row>
    <row r="136" spans="1:16" x14ac:dyDescent="0.25">
      <c r="A136">
        <v>2023</v>
      </c>
      <c r="B136">
        <v>9</v>
      </c>
      <c r="C136" t="s">
        <v>22</v>
      </c>
      <c r="D136">
        <v>14</v>
      </c>
      <c r="E136">
        <v>5</v>
      </c>
      <c r="F136">
        <v>9</v>
      </c>
      <c r="G136">
        <v>0</v>
      </c>
      <c r="H136">
        <v>10</v>
      </c>
      <c r="I136">
        <v>-0.80800000000000005</v>
      </c>
      <c r="K136" t="s">
        <v>108</v>
      </c>
      <c r="L136" s="1" t="s">
        <v>108</v>
      </c>
      <c r="M136" t="s">
        <v>22</v>
      </c>
      <c r="N136" t="s">
        <v>30</v>
      </c>
      <c r="O136" t="s">
        <v>111</v>
      </c>
      <c r="P136" t="s">
        <v>112</v>
      </c>
    </row>
    <row r="137" spans="1:16" x14ac:dyDescent="0.25">
      <c r="A137">
        <v>2023</v>
      </c>
      <c r="B137">
        <v>10</v>
      </c>
      <c r="C137" t="s">
        <v>19</v>
      </c>
      <c r="D137">
        <v>14</v>
      </c>
      <c r="E137">
        <v>4</v>
      </c>
      <c r="F137">
        <v>10</v>
      </c>
      <c r="G137">
        <v>0</v>
      </c>
      <c r="H137">
        <v>8</v>
      </c>
      <c r="I137">
        <v>-0.59</v>
      </c>
      <c r="K137" t="s">
        <v>108</v>
      </c>
      <c r="L137" s="1" t="s">
        <v>108</v>
      </c>
      <c r="M137" t="s">
        <v>19</v>
      </c>
      <c r="N137" t="s">
        <v>30</v>
      </c>
      <c r="O137" t="s">
        <v>126</v>
      </c>
      <c r="P137" t="s">
        <v>127</v>
      </c>
    </row>
    <row r="138" spans="1:16" x14ac:dyDescent="0.25">
      <c r="A138">
        <v>2024</v>
      </c>
      <c r="B138">
        <v>1</v>
      </c>
      <c r="C138" t="s">
        <v>14</v>
      </c>
      <c r="D138">
        <v>14</v>
      </c>
      <c r="E138">
        <v>9</v>
      </c>
      <c r="F138">
        <v>3</v>
      </c>
      <c r="G138">
        <v>2</v>
      </c>
      <c r="H138">
        <v>20</v>
      </c>
      <c r="I138">
        <v>1.4279999999999999</v>
      </c>
      <c r="J138" t="s">
        <v>30</v>
      </c>
      <c r="K138" t="s">
        <v>30</v>
      </c>
      <c r="L138" s="1" t="s">
        <v>30</v>
      </c>
      <c r="M138" t="s">
        <v>14</v>
      </c>
      <c r="N138" t="s">
        <v>30</v>
      </c>
      <c r="O138" t="s">
        <v>115</v>
      </c>
      <c r="P138" t="s">
        <v>116</v>
      </c>
    </row>
    <row r="139" spans="1:16" x14ac:dyDescent="0.25">
      <c r="A139">
        <v>2024</v>
      </c>
      <c r="B139">
        <v>2</v>
      </c>
      <c r="C139" t="s">
        <v>19</v>
      </c>
      <c r="D139">
        <v>14</v>
      </c>
      <c r="E139">
        <v>8</v>
      </c>
      <c r="F139">
        <v>5</v>
      </c>
      <c r="G139">
        <v>1</v>
      </c>
      <c r="H139">
        <v>17</v>
      </c>
      <c r="I139">
        <v>0.41399999999999998</v>
      </c>
      <c r="J139" t="s">
        <v>30</v>
      </c>
      <c r="K139" t="s">
        <v>30</v>
      </c>
      <c r="L139" s="1" t="s">
        <v>108</v>
      </c>
      <c r="M139" t="s">
        <v>19</v>
      </c>
      <c r="N139" t="s">
        <v>30</v>
      </c>
      <c r="O139" t="s">
        <v>126</v>
      </c>
      <c r="P139" t="s">
        <v>127</v>
      </c>
    </row>
    <row r="140" spans="1:16" x14ac:dyDescent="0.25">
      <c r="A140">
        <v>2024</v>
      </c>
      <c r="B140">
        <v>3</v>
      </c>
      <c r="C140" t="s">
        <v>9</v>
      </c>
      <c r="D140">
        <v>14</v>
      </c>
      <c r="E140">
        <v>8</v>
      </c>
      <c r="F140">
        <v>5</v>
      </c>
      <c r="G140">
        <v>1</v>
      </c>
      <c r="H140">
        <v>17</v>
      </c>
      <c r="I140">
        <v>0.27300000000000002</v>
      </c>
      <c r="J140" t="s">
        <v>30</v>
      </c>
      <c r="K140" t="s">
        <v>108</v>
      </c>
      <c r="L140" s="1" t="s">
        <v>108</v>
      </c>
      <c r="M140" t="s">
        <v>9</v>
      </c>
      <c r="N140" t="s">
        <v>30</v>
      </c>
      <c r="O140" t="s">
        <v>122</v>
      </c>
      <c r="P140" t="s">
        <v>123</v>
      </c>
    </row>
    <row r="141" spans="1:16" x14ac:dyDescent="0.25">
      <c r="A141">
        <v>2024</v>
      </c>
      <c r="B141">
        <v>4</v>
      </c>
      <c r="C141" t="s">
        <v>26</v>
      </c>
      <c r="D141">
        <v>14</v>
      </c>
      <c r="E141">
        <v>7</v>
      </c>
      <c r="F141">
        <v>7</v>
      </c>
      <c r="G141">
        <v>0</v>
      </c>
      <c r="H141">
        <v>14</v>
      </c>
      <c r="I141">
        <v>0.45900000000000002</v>
      </c>
      <c r="J141" t="s">
        <v>30</v>
      </c>
      <c r="K141" t="s">
        <v>108</v>
      </c>
      <c r="L141" s="1" t="s">
        <v>108</v>
      </c>
      <c r="M141" t="s">
        <v>26</v>
      </c>
      <c r="N141" t="s">
        <v>30</v>
      </c>
      <c r="O141" t="s">
        <v>124</v>
      </c>
      <c r="P141" t="s">
        <v>125</v>
      </c>
    </row>
    <row r="142" spans="1:16" x14ac:dyDescent="0.25">
      <c r="A142">
        <v>2024</v>
      </c>
      <c r="B142">
        <v>5</v>
      </c>
      <c r="C142" t="s">
        <v>11</v>
      </c>
      <c r="D142">
        <v>14</v>
      </c>
      <c r="E142">
        <v>7</v>
      </c>
      <c r="F142">
        <v>7</v>
      </c>
      <c r="G142">
        <v>0</v>
      </c>
      <c r="H142">
        <v>14</v>
      </c>
      <c r="I142">
        <v>0.39200000000000002</v>
      </c>
      <c r="K142" t="s">
        <v>108</v>
      </c>
      <c r="L142" s="1" t="s">
        <v>108</v>
      </c>
      <c r="M142" t="s">
        <v>11</v>
      </c>
      <c r="N142" t="s">
        <v>30</v>
      </c>
      <c r="O142" t="s">
        <v>109</v>
      </c>
      <c r="P142" t="s">
        <v>110</v>
      </c>
    </row>
    <row r="143" spans="1:16" x14ac:dyDescent="0.25">
      <c r="A143">
        <v>2024</v>
      </c>
      <c r="B143">
        <v>6</v>
      </c>
      <c r="C143" t="s">
        <v>22</v>
      </c>
      <c r="D143">
        <v>14</v>
      </c>
      <c r="E143">
        <v>7</v>
      </c>
      <c r="F143">
        <v>7</v>
      </c>
      <c r="G143">
        <v>0</v>
      </c>
      <c r="H143">
        <v>14</v>
      </c>
      <c r="I143">
        <v>-0.377</v>
      </c>
      <c r="K143" t="s">
        <v>108</v>
      </c>
      <c r="L143" s="1" t="s">
        <v>108</v>
      </c>
      <c r="M143" t="s">
        <v>22</v>
      </c>
      <c r="N143" t="s">
        <v>30</v>
      </c>
      <c r="O143" t="s">
        <v>111</v>
      </c>
      <c r="P143" t="s">
        <v>112</v>
      </c>
    </row>
    <row r="144" spans="1:16" x14ac:dyDescent="0.25">
      <c r="A144">
        <v>2024</v>
      </c>
      <c r="B144">
        <v>7</v>
      </c>
      <c r="C144" t="s">
        <v>25</v>
      </c>
      <c r="D144">
        <v>14</v>
      </c>
      <c r="E144">
        <v>7</v>
      </c>
      <c r="F144">
        <v>7</v>
      </c>
      <c r="G144">
        <v>0</v>
      </c>
      <c r="H144">
        <v>14</v>
      </c>
      <c r="I144">
        <v>-0.66700000000000004</v>
      </c>
      <c r="K144" t="s">
        <v>108</v>
      </c>
      <c r="L144" s="1" t="s">
        <v>108</v>
      </c>
      <c r="M144" t="s">
        <v>25</v>
      </c>
      <c r="N144" t="s">
        <v>30</v>
      </c>
      <c r="O144" t="s">
        <v>117</v>
      </c>
      <c r="P144" t="s">
        <v>118</v>
      </c>
    </row>
    <row r="145" spans="1:16" x14ac:dyDescent="0.25">
      <c r="A145">
        <v>2024</v>
      </c>
      <c r="B145">
        <v>8</v>
      </c>
      <c r="C145" t="s">
        <v>24</v>
      </c>
      <c r="D145">
        <v>14</v>
      </c>
      <c r="E145">
        <v>5</v>
      </c>
      <c r="F145">
        <v>7</v>
      </c>
      <c r="G145">
        <v>2</v>
      </c>
      <c r="H145">
        <v>12</v>
      </c>
      <c r="I145">
        <v>-1.0629999999999999</v>
      </c>
      <c r="K145" t="s">
        <v>108</v>
      </c>
      <c r="L145" s="1" t="s">
        <v>108</v>
      </c>
      <c r="M145" t="s">
        <v>24</v>
      </c>
      <c r="N145" t="s">
        <v>30</v>
      </c>
      <c r="O145" t="s">
        <v>113</v>
      </c>
      <c r="P145" t="s">
        <v>114</v>
      </c>
    </row>
    <row r="146" spans="1:16" x14ac:dyDescent="0.25">
      <c r="A146">
        <v>2024</v>
      </c>
      <c r="B146">
        <v>9</v>
      </c>
      <c r="C146" t="s">
        <v>23</v>
      </c>
      <c r="D146">
        <v>14</v>
      </c>
      <c r="E146">
        <v>5</v>
      </c>
      <c r="F146">
        <v>9</v>
      </c>
      <c r="G146">
        <v>0</v>
      </c>
      <c r="H146">
        <v>10</v>
      </c>
      <c r="I146">
        <v>-0.35299999999999998</v>
      </c>
      <c r="K146" t="s">
        <v>108</v>
      </c>
      <c r="L146" s="1" t="s">
        <v>108</v>
      </c>
      <c r="M146" t="s">
        <v>23</v>
      </c>
      <c r="N146" t="s">
        <v>30</v>
      </c>
      <c r="O146" t="s">
        <v>121</v>
      </c>
      <c r="P146" t="s">
        <v>121</v>
      </c>
    </row>
    <row r="147" spans="1:16" x14ac:dyDescent="0.25">
      <c r="A147">
        <v>2024</v>
      </c>
      <c r="B147">
        <v>10</v>
      </c>
      <c r="C147" t="s">
        <v>13</v>
      </c>
      <c r="D147">
        <v>14</v>
      </c>
      <c r="E147">
        <v>4</v>
      </c>
      <c r="F147">
        <v>10</v>
      </c>
      <c r="G147">
        <v>0</v>
      </c>
      <c r="H147">
        <v>8</v>
      </c>
      <c r="I147">
        <v>-0.318</v>
      </c>
      <c r="K147" t="s">
        <v>108</v>
      </c>
      <c r="L147" s="1" t="s">
        <v>108</v>
      </c>
      <c r="M147" t="s">
        <v>13</v>
      </c>
      <c r="N147" t="s">
        <v>30</v>
      </c>
      <c r="O147" t="s">
        <v>119</v>
      </c>
      <c r="P147" t="s">
        <v>120</v>
      </c>
    </row>
    <row r="148" spans="1:16" x14ac:dyDescent="0.25">
      <c r="A148">
        <v>2025</v>
      </c>
      <c r="B148">
        <v>1</v>
      </c>
      <c r="C148" t="s">
        <v>23</v>
      </c>
      <c r="D148">
        <v>14</v>
      </c>
      <c r="E148">
        <v>9</v>
      </c>
      <c r="F148">
        <v>4</v>
      </c>
      <c r="G148">
        <v>1</v>
      </c>
      <c r="H148">
        <v>19</v>
      </c>
      <c r="I148">
        <v>0.372</v>
      </c>
      <c r="J148" t="s">
        <v>30</v>
      </c>
      <c r="K148" t="s">
        <v>30</v>
      </c>
      <c r="L148" s="1" t="s">
        <v>108</v>
      </c>
      <c r="M148" t="s">
        <v>23</v>
      </c>
      <c r="N148" t="s">
        <v>30</v>
      </c>
      <c r="O148" t="s">
        <v>121</v>
      </c>
      <c r="P148" t="s">
        <v>121</v>
      </c>
    </row>
    <row r="149" spans="1:16" x14ac:dyDescent="0.25">
      <c r="A149">
        <v>2025</v>
      </c>
      <c r="B149">
        <v>2</v>
      </c>
      <c r="C149" t="s">
        <v>26</v>
      </c>
      <c r="D149">
        <v>14</v>
      </c>
      <c r="E149">
        <v>9</v>
      </c>
      <c r="F149">
        <v>4</v>
      </c>
      <c r="G149">
        <v>1</v>
      </c>
      <c r="H149">
        <v>19</v>
      </c>
      <c r="I149">
        <v>0.30099999999999999</v>
      </c>
      <c r="J149" t="s">
        <v>30</v>
      </c>
      <c r="K149" t="s">
        <v>30</v>
      </c>
      <c r="L149" s="1" t="s">
        <v>30</v>
      </c>
      <c r="M149" t="s">
        <v>26</v>
      </c>
      <c r="N149" t="s">
        <v>30</v>
      </c>
      <c r="O149" t="s">
        <v>124</v>
      </c>
      <c r="P149" t="s">
        <v>125</v>
      </c>
    </row>
    <row r="150" spans="1:16" x14ac:dyDescent="0.25">
      <c r="A150">
        <v>2025</v>
      </c>
      <c r="B150">
        <v>3</v>
      </c>
      <c r="C150" t="s">
        <v>24</v>
      </c>
      <c r="D150">
        <v>14</v>
      </c>
      <c r="E150">
        <v>9</v>
      </c>
      <c r="F150">
        <v>5</v>
      </c>
      <c r="G150">
        <v>0</v>
      </c>
      <c r="H150">
        <v>18</v>
      </c>
      <c r="I150">
        <v>0.254</v>
      </c>
      <c r="J150" t="s">
        <v>30</v>
      </c>
      <c r="K150" t="s">
        <v>108</v>
      </c>
      <c r="L150" s="1" t="s">
        <v>108</v>
      </c>
      <c r="M150" t="s">
        <v>24</v>
      </c>
      <c r="N150" t="s">
        <v>30</v>
      </c>
      <c r="O150" t="s">
        <v>113</v>
      </c>
      <c r="P150" t="s">
        <v>114</v>
      </c>
    </row>
    <row r="151" spans="1:16" x14ac:dyDescent="0.25">
      <c r="A151">
        <v>2025</v>
      </c>
      <c r="B151">
        <v>4</v>
      </c>
      <c r="C151" t="s">
        <v>13</v>
      </c>
      <c r="D151">
        <v>14</v>
      </c>
      <c r="E151">
        <v>8</v>
      </c>
      <c r="F151">
        <v>6</v>
      </c>
      <c r="G151">
        <v>0</v>
      </c>
      <c r="H151">
        <v>16</v>
      </c>
      <c r="I151">
        <v>1.1419999999999999</v>
      </c>
      <c r="J151" t="s">
        <v>30</v>
      </c>
      <c r="K151" t="s">
        <v>108</v>
      </c>
      <c r="L151" s="1" t="s">
        <v>108</v>
      </c>
      <c r="M151" t="s">
        <v>13</v>
      </c>
      <c r="N151" t="s">
        <v>30</v>
      </c>
      <c r="O151" t="s">
        <v>119</v>
      </c>
      <c r="P151" t="s">
        <v>120</v>
      </c>
    </row>
    <row r="152" spans="1:16" x14ac:dyDescent="0.25">
      <c r="A152">
        <v>2025</v>
      </c>
      <c r="B152">
        <v>5</v>
      </c>
      <c r="C152" t="s">
        <v>22</v>
      </c>
      <c r="D152">
        <v>14</v>
      </c>
      <c r="E152">
        <v>7</v>
      </c>
      <c r="F152">
        <v>6</v>
      </c>
      <c r="G152">
        <v>1</v>
      </c>
      <c r="H152">
        <v>15</v>
      </c>
      <c r="I152">
        <v>1.0999999999999999E-2</v>
      </c>
      <c r="K152" t="s">
        <v>108</v>
      </c>
      <c r="L152" s="1" t="s">
        <v>108</v>
      </c>
      <c r="M152" t="s">
        <v>22</v>
      </c>
      <c r="N152" t="s">
        <v>30</v>
      </c>
      <c r="O152" t="s">
        <v>111</v>
      </c>
      <c r="P152" t="s">
        <v>112</v>
      </c>
    </row>
    <row r="153" spans="1:16" x14ac:dyDescent="0.25">
      <c r="A153">
        <v>2025</v>
      </c>
      <c r="B153">
        <v>6</v>
      </c>
      <c r="C153" t="s">
        <v>19</v>
      </c>
      <c r="D153">
        <v>14</v>
      </c>
      <c r="E153">
        <v>6</v>
      </c>
      <c r="F153">
        <v>7</v>
      </c>
      <c r="G153">
        <v>1</v>
      </c>
      <c r="H153">
        <v>13</v>
      </c>
      <c r="I153">
        <v>-0.24099999999999999</v>
      </c>
      <c r="K153" t="s">
        <v>108</v>
      </c>
      <c r="L153" s="1" t="s">
        <v>108</v>
      </c>
      <c r="M153" t="s">
        <v>19</v>
      </c>
      <c r="N153" t="s">
        <v>30</v>
      </c>
      <c r="O153" t="s">
        <v>126</v>
      </c>
      <c r="P153" t="s">
        <v>127</v>
      </c>
    </row>
    <row r="154" spans="1:16" x14ac:dyDescent="0.25">
      <c r="A154">
        <v>2025</v>
      </c>
      <c r="B154">
        <v>7</v>
      </c>
      <c r="C154" t="s">
        <v>25</v>
      </c>
      <c r="D154">
        <v>14</v>
      </c>
      <c r="E154">
        <v>6</v>
      </c>
      <c r="F154">
        <v>8</v>
      </c>
      <c r="G154">
        <v>0</v>
      </c>
      <c r="H154">
        <v>12</v>
      </c>
      <c r="I154">
        <v>-0.376</v>
      </c>
      <c r="K154" t="s">
        <v>108</v>
      </c>
      <c r="L154" s="1" t="s">
        <v>108</v>
      </c>
      <c r="M154" t="s">
        <v>25</v>
      </c>
      <c r="N154" t="s">
        <v>30</v>
      </c>
      <c r="O154" t="s">
        <v>117</v>
      </c>
      <c r="P154" t="s">
        <v>118</v>
      </c>
    </row>
    <row r="155" spans="1:16" x14ac:dyDescent="0.25">
      <c r="A155">
        <v>2025</v>
      </c>
      <c r="B155">
        <v>8</v>
      </c>
      <c r="C155" t="s">
        <v>14</v>
      </c>
      <c r="D155">
        <v>14</v>
      </c>
      <c r="E155">
        <v>5</v>
      </c>
      <c r="F155">
        <v>7</v>
      </c>
      <c r="G155">
        <v>2</v>
      </c>
      <c r="H155">
        <v>12</v>
      </c>
      <c r="I155">
        <v>-0.30499999999999999</v>
      </c>
      <c r="K155" t="s">
        <v>108</v>
      </c>
      <c r="L155" s="1" t="s">
        <v>108</v>
      </c>
      <c r="M155" t="s">
        <v>14</v>
      </c>
      <c r="N155" t="s">
        <v>30</v>
      </c>
      <c r="O155" t="s">
        <v>115</v>
      </c>
      <c r="P155" t="s">
        <v>116</v>
      </c>
    </row>
    <row r="156" spans="1:16" x14ac:dyDescent="0.25">
      <c r="A156">
        <v>2025</v>
      </c>
      <c r="B156">
        <v>9</v>
      </c>
      <c r="C156" t="s">
        <v>9</v>
      </c>
      <c r="D156">
        <v>14</v>
      </c>
      <c r="E156">
        <v>4</v>
      </c>
      <c r="F156">
        <v>10</v>
      </c>
      <c r="G156">
        <v>0</v>
      </c>
      <c r="H156">
        <v>8</v>
      </c>
      <c r="I156">
        <v>-0.54900000000000004</v>
      </c>
      <c r="K156" t="s">
        <v>108</v>
      </c>
      <c r="L156" s="1" t="s">
        <v>108</v>
      </c>
      <c r="M156" t="s">
        <v>9</v>
      </c>
      <c r="N156" t="s">
        <v>30</v>
      </c>
      <c r="O156" t="s">
        <v>122</v>
      </c>
      <c r="P156" t="s">
        <v>123</v>
      </c>
    </row>
    <row r="157" spans="1:16" x14ac:dyDescent="0.25">
      <c r="A157">
        <v>2025</v>
      </c>
      <c r="B157">
        <v>10</v>
      </c>
      <c r="C157" t="s">
        <v>11</v>
      </c>
      <c r="D157">
        <v>14</v>
      </c>
      <c r="E157">
        <v>4</v>
      </c>
      <c r="F157">
        <v>10</v>
      </c>
      <c r="G157">
        <v>0</v>
      </c>
      <c r="H157">
        <v>8</v>
      </c>
      <c r="I157">
        <v>-0.64700000000000002</v>
      </c>
      <c r="K157" t="s">
        <v>108</v>
      </c>
      <c r="L157" s="1" t="s">
        <v>108</v>
      </c>
      <c r="M157" t="s">
        <v>11</v>
      </c>
      <c r="N157" t="s">
        <v>30</v>
      </c>
      <c r="O157" t="s">
        <v>109</v>
      </c>
      <c r="P157" t="s">
        <v>110</v>
      </c>
    </row>
    <row r="158" spans="1:16" x14ac:dyDescent="0.25">
      <c r="A158">
        <v>2026</v>
      </c>
      <c r="B158">
        <v>1</v>
      </c>
      <c r="C158" t="s">
        <v>26</v>
      </c>
      <c r="D158">
        <v>14</v>
      </c>
      <c r="E158">
        <v>9</v>
      </c>
      <c r="F158">
        <v>5</v>
      </c>
      <c r="G158">
        <v>0</v>
      </c>
      <c r="H158">
        <v>18</v>
      </c>
      <c r="I158">
        <v>0.78300000000000003</v>
      </c>
      <c r="J158" t="s">
        <v>30</v>
      </c>
      <c r="K158" t="s">
        <v>30</v>
      </c>
      <c r="L158" s="1" t="s">
        <v>30</v>
      </c>
      <c r="M158" t="s">
        <v>26</v>
      </c>
      <c r="N158" t="s">
        <v>30</v>
      </c>
      <c r="O158" t="s">
        <v>124</v>
      </c>
      <c r="P158" t="s">
        <v>125</v>
      </c>
    </row>
    <row r="159" spans="1:16" x14ac:dyDescent="0.25">
      <c r="A159">
        <v>2026</v>
      </c>
      <c r="B159">
        <v>2</v>
      </c>
      <c r="C159" t="s">
        <v>24</v>
      </c>
      <c r="D159">
        <v>14</v>
      </c>
      <c r="E159">
        <v>9</v>
      </c>
      <c r="F159">
        <v>5</v>
      </c>
      <c r="G159">
        <v>0</v>
      </c>
      <c r="H159">
        <v>18</v>
      </c>
      <c r="I159">
        <v>0.69499999999999995</v>
      </c>
      <c r="J159" t="s">
        <v>30</v>
      </c>
      <c r="K159" t="s">
        <v>30</v>
      </c>
      <c r="L159" s="1" t="s">
        <v>108</v>
      </c>
      <c r="M159" t="s">
        <v>24</v>
      </c>
      <c r="N159" t="s">
        <v>30</v>
      </c>
      <c r="O159" t="s">
        <v>113</v>
      </c>
      <c r="P159" t="s">
        <v>114</v>
      </c>
    </row>
    <row r="160" spans="1:16" x14ac:dyDescent="0.25">
      <c r="A160">
        <v>2026</v>
      </c>
      <c r="B160">
        <v>3</v>
      </c>
      <c r="C160" t="s">
        <v>19</v>
      </c>
      <c r="D160">
        <v>14</v>
      </c>
      <c r="E160">
        <v>9</v>
      </c>
      <c r="F160">
        <v>5</v>
      </c>
      <c r="G160">
        <v>0</v>
      </c>
      <c r="H160">
        <v>18</v>
      </c>
      <c r="I160">
        <v>0.52400000000000002</v>
      </c>
      <c r="J160" t="s">
        <v>30</v>
      </c>
      <c r="K160" t="s">
        <v>108</v>
      </c>
      <c r="L160" s="1" t="s">
        <v>108</v>
      </c>
      <c r="M160" t="s">
        <v>19</v>
      </c>
      <c r="N160" t="s">
        <v>30</v>
      </c>
      <c r="O160" t="s">
        <v>126</v>
      </c>
      <c r="P160" t="s">
        <v>127</v>
      </c>
    </row>
    <row r="161" spans="1:16" x14ac:dyDescent="0.25">
      <c r="A161">
        <v>2026</v>
      </c>
      <c r="B161">
        <v>4</v>
      </c>
      <c r="C161" t="s">
        <v>9</v>
      </c>
      <c r="D161">
        <v>14</v>
      </c>
      <c r="E161">
        <v>8</v>
      </c>
      <c r="F161">
        <v>6</v>
      </c>
      <c r="G161">
        <v>0</v>
      </c>
      <c r="H161">
        <v>16</v>
      </c>
      <c r="I161">
        <v>0.189</v>
      </c>
      <c r="J161" t="s">
        <v>30</v>
      </c>
      <c r="K161" t="s">
        <v>108</v>
      </c>
      <c r="L161" s="1" t="s">
        <v>108</v>
      </c>
      <c r="M161" t="s">
        <v>9</v>
      </c>
      <c r="N161" t="s">
        <v>30</v>
      </c>
      <c r="O161" t="s">
        <v>122</v>
      </c>
      <c r="P161" t="s">
        <v>123</v>
      </c>
    </row>
    <row r="162" spans="1:16" x14ac:dyDescent="0.25">
      <c r="A162">
        <v>2026</v>
      </c>
      <c r="B162">
        <v>5</v>
      </c>
      <c r="C162" t="s">
        <v>23</v>
      </c>
      <c r="D162">
        <v>14</v>
      </c>
      <c r="E162">
        <v>7</v>
      </c>
      <c r="F162">
        <v>6</v>
      </c>
      <c r="G162">
        <v>1</v>
      </c>
      <c r="H162">
        <v>15</v>
      </c>
      <c r="I162">
        <v>0.309</v>
      </c>
      <c r="K162" t="s">
        <v>108</v>
      </c>
      <c r="L162" s="1" t="s">
        <v>108</v>
      </c>
      <c r="M162" t="s">
        <v>23</v>
      </c>
      <c r="N162" t="s">
        <v>30</v>
      </c>
      <c r="O162" t="s">
        <v>121</v>
      </c>
      <c r="P162" t="s">
        <v>121</v>
      </c>
    </row>
    <row r="163" spans="1:16" x14ac:dyDescent="0.25">
      <c r="A163">
        <v>2026</v>
      </c>
      <c r="B163">
        <v>6</v>
      </c>
      <c r="C163" t="s">
        <v>22</v>
      </c>
      <c r="D163">
        <v>14</v>
      </c>
      <c r="E163">
        <v>7</v>
      </c>
      <c r="F163">
        <v>7</v>
      </c>
      <c r="G163">
        <v>0</v>
      </c>
      <c r="H163">
        <v>14</v>
      </c>
      <c r="I163">
        <v>-0.65100000000000002</v>
      </c>
      <c r="K163" t="s">
        <v>108</v>
      </c>
      <c r="L163" s="1" t="s">
        <v>108</v>
      </c>
      <c r="M163" t="s">
        <v>22</v>
      </c>
      <c r="N163" t="s">
        <v>30</v>
      </c>
      <c r="O163" t="s">
        <v>111</v>
      </c>
      <c r="P163" t="s">
        <v>112</v>
      </c>
    </row>
    <row r="164" spans="1:16" x14ac:dyDescent="0.25">
      <c r="A164">
        <v>2026</v>
      </c>
      <c r="B164">
        <v>7</v>
      </c>
      <c r="C164" t="s">
        <v>14</v>
      </c>
      <c r="D164">
        <v>14</v>
      </c>
      <c r="E164">
        <v>6</v>
      </c>
      <c r="F164">
        <v>7</v>
      </c>
      <c r="G164">
        <v>1</v>
      </c>
      <c r="H164">
        <v>13</v>
      </c>
      <c r="I164">
        <v>-0.14699999999999999</v>
      </c>
      <c r="K164" t="s">
        <v>108</v>
      </c>
      <c r="L164" s="1" t="s">
        <v>108</v>
      </c>
      <c r="M164" t="s">
        <v>14</v>
      </c>
      <c r="N164" t="s">
        <v>30</v>
      </c>
      <c r="O164" t="s">
        <v>115</v>
      </c>
      <c r="P164" t="s">
        <v>116</v>
      </c>
    </row>
    <row r="165" spans="1:16" x14ac:dyDescent="0.25">
      <c r="A165">
        <v>2026</v>
      </c>
      <c r="B165">
        <v>8</v>
      </c>
      <c r="C165" t="s">
        <v>11</v>
      </c>
      <c r="D165">
        <v>14</v>
      </c>
      <c r="E165">
        <v>6</v>
      </c>
      <c r="F165">
        <v>8</v>
      </c>
      <c r="G165">
        <v>0</v>
      </c>
      <c r="H165">
        <v>12</v>
      </c>
      <c r="I165">
        <v>-0.34499999999999997</v>
      </c>
      <c r="K165" t="s">
        <v>108</v>
      </c>
      <c r="L165" s="1" t="s">
        <v>108</v>
      </c>
      <c r="M165" t="s">
        <v>11</v>
      </c>
      <c r="N165" t="s">
        <v>30</v>
      </c>
      <c r="O165" t="s">
        <v>109</v>
      </c>
      <c r="P165" t="s">
        <v>110</v>
      </c>
    </row>
    <row r="166" spans="1:16" x14ac:dyDescent="0.25">
      <c r="A166">
        <v>2026</v>
      </c>
      <c r="B166">
        <v>9</v>
      </c>
      <c r="C166" t="s">
        <v>13</v>
      </c>
      <c r="D166">
        <v>14</v>
      </c>
      <c r="E166">
        <v>4</v>
      </c>
      <c r="F166">
        <v>10</v>
      </c>
      <c r="G166">
        <v>0</v>
      </c>
      <c r="H166">
        <v>8</v>
      </c>
      <c r="I166">
        <v>-0.58399999999999996</v>
      </c>
      <c r="K166" t="s">
        <v>108</v>
      </c>
      <c r="L166" s="1" t="s">
        <v>108</v>
      </c>
      <c r="M166" t="s">
        <v>13</v>
      </c>
      <c r="N166" t="s">
        <v>30</v>
      </c>
      <c r="O166" t="s">
        <v>119</v>
      </c>
      <c r="P166" t="s">
        <v>120</v>
      </c>
    </row>
    <row r="167" spans="1:16" x14ac:dyDescent="0.25">
      <c r="A167">
        <v>2026</v>
      </c>
      <c r="B167">
        <v>10</v>
      </c>
      <c r="C167" t="s">
        <v>25</v>
      </c>
      <c r="D167">
        <v>14</v>
      </c>
      <c r="E167">
        <v>4</v>
      </c>
      <c r="F167">
        <v>10</v>
      </c>
      <c r="G167">
        <v>0</v>
      </c>
      <c r="H167">
        <v>8</v>
      </c>
      <c r="I167">
        <v>-0.74</v>
      </c>
      <c r="K167" t="s">
        <v>108</v>
      </c>
      <c r="L167" s="1" t="s">
        <v>108</v>
      </c>
      <c r="M167" t="s">
        <v>25</v>
      </c>
      <c r="N167" t="s">
        <v>30</v>
      </c>
      <c r="O167" t="s">
        <v>117</v>
      </c>
      <c r="P167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E69F-AF00-448C-BD83-AD50DEF9B7CF}">
  <dimension ref="A1:E75"/>
  <sheetViews>
    <sheetView topLeftCell="A40" workbookViewId="0">
      <selection activeCell="E73" sqref="E73"/>
    </sheetView>
  </sheetViews>
  <sheetFormatPr defaultRowHeight="15" x14ac:dyDescent="0.25"/>
  <cols>
    <col min="1" max="1" width="9.5703125" style="2" customWidth="1"/>
    <col min="2" max="2" width="22.85546875" customWidth="1"/>
    <col min="3" max="4" width="33.28515625" customWidth="1"/>
    <col min="5" max="5" width="30.42578125" customWidth="1"/>
  </cols>
  <sheetData>
    <row r="1" spans="1:5" x14ac:dyDescent="0.25">
      <c r="A1" s="2" t="s">
        <v>27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5">
      <c r="A2" s="2">
        <v>2008</v>
      </c>
      <c r="B2" t="s">
        <v>36</v>
      </c>
      <c r="C2" t="s">
        <v>9</v>
      </c>
      <c r="D2" t="s">
        <v>12</v>
      </c>
      <c r="E2" t="s">
        <v>37</v>
      </c>
    </row>
    <row r="3" spans="1:5" x14ac:dyDescent="0.25">
      <c r="A3" s="2">
        <v>2008</v>
      </c>
      <c r="B3" t="s">
        <v>38</v>
      </c>
      <c r="C3" t="s">
        <v>11</v>
      </c>
      <c r="D3" t="s">
        <v>10</v>
      </c>
      <c r="E3" t="s">
        <v>39</v>
      </c>
    </row>
    <row r="4" spans="1:5" x14ac:dyDescent="0.25">
      <c r="A4" s="2">
        <v>2008</v>
      </c>
      <c r="B4" t="s">
        <v>40</v>
      </c>
      <c r="C4" t="s">
        <v>11</v>
      </c>
      <c r="D4" t="s">
        <v>9</v>
      </c>
      <c r="E4" t="s">
        <v>41</v>
      </c>
    </row>
    <row r="5" spans="1:5" x14ac:dyDescent="0.25">
      <c r="A5" s="2">
        <v>2009</v>
      </c>
      <c r="B5" t="s">
        <v>36</v>
      </c>
      <c r="C5" t="s">
        <v>16</v>
      </c>
      <c r="D5" t="s">
        <v>12</v>
      </c>
      <c r="E5" t="s">
        <v>42</v>
      </c>
    </row>
    <row r="6" spans="1:5" x14ac:dyDescent="0.25">
      <c r="A6" s="2">
        <v>2009</v>
      </c>
      <c r="B6" t="s">
        <v>38</v>
      </c>
      <c r="C6" t="s">
        <v>11</v>
      </c>
      <c r="D6" t="s">
        <v>15</v>
      </c>
      <c r="E6" t="s">
        <v>43</v>
      </c>
    </row>
    <row r="7" spans="1:5" x14ac:dyDescent="0.25">
      <c r="A7" s="2">
        <v>2009</v>
      </c>
      <c r="B7" t="s">
        <v>40</v>
      </c>
      <c r="C7" t="s">
        <v>16</v>
      </c>
      <c r="D7" t="s">
        <v>15</v>
      </c>
      <c r="E7" t="s">
        <v>44</v>
      </c>
    </row>
    <row r="8" spans="1:5" x14ac:dyDescent="0.25">
      <c r="A8" s="2">
        <v>2010</v>
      </c>
      <c r="B8" t="s">
        <v>36</v>
      </c>
      <c r="C8" t="s">
        <v>13</v>
      </c>
      <c r="D8" t="s">
        <v>15</v>
      </c>
      <c r="E8" t="s">
        <v>45</v>
      </c>
    </row>
    <row r="9" spans="1:5" x14ac:dyDescent="0.25">
      <c r="A9" s="2">
        <v>2010</v>
      </c>
      <c r="B9" t="s">
        <v>38</v>
      </c>
      <c r="C9" t="s">
        <v>11</v>
      </c>
      <c r="D9" t="s">
        <v>16</v>
      </c>
      <c r="E9" t="s">
        <v>46</v>
      </c>
    </row>
    <row r="10" spans="1:5" x14ac:dyDescent="0.25">
      <c r="A10" s="2">
        <v>2010</v>
      </c>
      <c r="B10" t="s">
        <v>47</v>
      </c>
      <c r="C10" t="s">
        <v>16</v>
      </c>
      <c r="D10" t="s">
        <v>15</v>
      </c>
      <c r="E10" t="s">
        <v>48</v>
      </c>
    </row>
    <row r="11" spans="1:5" x14ac:dyDescent="0.25">
      <c r="A11" s="2">
        <v>2010</v>
      </c>
      <c r="B11" t="s">
        <v>40</v>
      </c>
      <c r="C11" t="s">
        <v>11</v>
      </c>
      <c r="D11" t="s">
        <v>13</v>
      </c>
      <c r="E11" t="s">
        <v>49</v>
      </c>
    </row>
    <row r="12" spans="1:5" x14ac:dyDescent="0.25">
      <c r="A12" s="2">
        <v>2011</v>
      </c>
      <c r="B12" t="s">
        <v>50</v>
      </c>
      <c r="C12" t="s">
        <v>15</v>
      </c>
      <c r="D12" t="s">
        <v>11</v>
      </c>
      <c r="E12" t="s">
        <v>51</v>
      </c>
    </row>
    <row r="13" spans="1:5" x14ac:dyDescent="0.25">
      <c r="A13" s="2">
        <v>2011</v>
      </c>
      <c r="B13" t="s">
        <v>52</v>
      </c>
      <c r="C13" t="s">
        <v>13</v>
      </c>
      <c r="D13" t="s">
        <v>14</v>
      </c>
      <c r="E13" t="s">
        <v>53</v>
      </c>
    </row>
    <row r="14" spans="1:5" x14ac:dyDescent="0.25">
      <c r="A14" s="2">
        <v>2011</v>
      </c>
      <c r="B14" t="s">
        <v>54</v>
      </c>
      <c r="C14" t="s">
        <v>13</v>
      </c>
      <c r="D14" t="s">
        <v>15</v>
      </c>
      <c r="E14" t="s">
        <v>55</v>
      </c>
    </row>
    <row r="15" spans="1:5" x14ac:dyDescent="0.25">
      <c r="A15" s="2">
        <v>2011</v>
      </c>
      <c r="B15" t="s">
        <v>40</v>
      </c>
      <c r="C15" t="s">
        <v>11</v>
      </c>
      <c r="D15" t="s">
        <v>15</v>
      </c>
      <c r="E15" t="s">
        <v>56</v>
      </c>
    </row>
    <row r="16" spans="1:5" x14ac:dyDescent="0.25">
      <c r="A16" s="2">
        <v>2012</v>
      </c>
      <c r="B16" t="s">
        <v>50</v>
      </c>
      <c r="C16" t="s">
        <v>12</v>
      </c>
      <c r="D16" t="s">
        <v>14</v>
      </c>
      <c r="E16" t="s">
        <v>57</v>
      </c>
    </row>
    <row r="17" spans="1:5" x14ac:dyDescent="0.25">
      <c r="A17" s="2">
        <v>2012</v>
      </c>
      <c r="B17" t="s">
        <v>52</v>
      </c>
      <c r="C17" t="s">
        <v>13</v>
      </c>
      <c r="D17" t="s">
        <v>11</v>
      </c>
      <c r="E17" t="s">
        <v>46</v>
      </c>
    </row>
    <row r="18" spans="1:5" x14ac:dyDescent="0.25">
      <c r="A18" s="2">
        <v>2012</v>
      </c>
      <c r="B18" t="s">
        <v>54</v>
      </c>
      <c r="C18" t="s">
        <v>11</v>
      </c>
      <c r="D18" t="s">
        <v>12</v>
      </c>
      <c r="E18" t="s">
        <v>58</v>
      </c>
    </row>
    <row r="19" spans="1:5" x14ac:dyDescent="0.25">
      <c r="A19" s="2">
        <v>2012</v>
      </c>
      <c r="B19" t="s">
        <v>40</v>
      </c>
      <c r="C19" t="s">
        <v>11</v>
      </c>
      <c r="D19" t="s">
        <v>14</v>
      </c>
      <c r="E19" t="s">
        <v>59</v>
      </c>
    </row>
    <row r="20" spans="1:5" x14ac:dyDescent="0.25">
      <c r="A20" s="2">
        <v>2013</v>
      </c>
      <c r="B20" t="s">
        <v>50</v>
      </c>
      <c r="C20" t="s">
        <v>11</v>
      </c>
      <c r="D20" t="s">
        <v>13</v>
      </c>
      <c r="E20" t="s">
        <v>60</v>
      </c>
    </row>
    <row r="21" spans="1:5" x14ac:dyDescent="0.25">
      <c r="A21" s="2">
        <v>2013</v>
      </c>
      <c r="B21" t="s">
        <v>52</v>
      </c>
      <c r="C21" t="s">
        <v>9</v>
      </c>
      <c r="D21" t="s">
        <v>19</v>
      </c>
      <c r="E21" t="s">
        <v>61</v>
      </c>
    </row>
    <row r="22" spans="1:5" x14ac:dyDescent="0.25">
      <c r="A22" s="2">
        <v>2013</v>
      </c>
      <c r="B22" t="s">
        <v>54</v>
      </c>
      <c r="C22" t="s">
        <v>13</v>
      </c>
      <c r="D22" t="s">
        <v>9</v>
      </c>
      <c r="E22" t="s">
        <v>53</v>
      </c>
    </row>
    <row r="23" spans="1:5" x14ac:dyDescent="0.25">
      <c r="A23" s="2">
        <v>2013</v>
      </c>
      <c r="B23" t="s">
        <v>40</v>
      </c>
      <c r="C23" t="s">
        <v>11</v>
      </c>
      <c r="D23" t="s">
        <v>13</v>
      </c>
      <c r="E23" t="s">
        <v>62</v>
      </c>
    </row>
    <row r="24" spans="1:5" x14ac:dyDescent="0.25">
      <c r="A24" s="2">
        <v>2014</v>
      </c>
      <c r="B24" t="s">
        <v>50</v>
      </c>
      <c r="C24" t="s">
        <v>10</v>
      </c>
      <c r="D24" t="s">
        <v>14</v>
      </c>
      <c r="E24" t="s">
        <v>63</v>
      </c>
    </row>
    <row r="25" spans="1:5" x14ac:dyDescent="0.25">
      <c r="A25" s="2">
        <v>2014</v>
      </c>
      <c r="B25" t="s">
        <v>52</v>
      </c>
      <c r="C25" t="s">
        <v>11</v>
      </c>
      <c r="D25" t="s">
        <v>13</v>
      </c>
      <c r="E25" t="s">
        <v>64</v>
      </c>
    </row>
    <row r="26" spans="1:5" x14ac:dyDescent="0.25">
      <c r="A26" s="2">
        <v>2014</v>
      </c>
      <c r="B26" t="s">
        <v>54</v>
      </c>
      <c r="C26" t="s">
        <v>10</v>
      </c>
      <c r="D26" t="s">
        <v>11</v>
      </c>
      <c r="E26" t="s">
        <v>65</v>
      </c>
    </row>
    <row r="27" spans="1:5" x14ac:dyDescent="0.25">
      <c r="A27" s="2">
        <v>2014</v>
      </c>
      <c r="B27" t="s">
        <v>40</v>
      </c>
      <c r="C27" t="s">
        <v>14</v>
      </c>
      <c r="D27" t="s">
        <v>10</v>
      </c>
      <c r="E27" t="s">
        <v>66</v>
      </c>
    </row>
    <row r="28" spans="1:5" x14ac:dyDescent="0.25">
      <c r="A28" s="2">
        <v>2015</v>
      </c>
      <c r="B28" t="s">
        <v>50</v>
      </c>
      <c r="C28" t="s">
        <v>11</v>
      </c>
      <c r="D28" t="s">
        <v>13</v>
      </c>
      <c r="E28" t="s">
        <v>67</v>
      </c>
    </row>
    <row r="29" spans="1:5" x14ac:dyDescent="0.25">
      <c r="A29" s="2">
        <v>2015</v>
      </c>
      <c r="B29" t="s">
        <v>52</v>
      </c>
      <c r="C29" t="s">
        <v>15</v>
      </c>
      <c r="D29" t="s">
        <v>9</v>
      </c>
      <c r="E29" t="s">
        <v>68</v>
      </c>
    </row>
    <row r="30" spans="1:5" x14ac:dyDescent="0.25">
      <c r="A30" s="2">
        <v>2015</v>
      </c>
      <c r="B30" t="s">
        <v>54</v>
      </c>
      <c r="C30" t="s">
        <v>11</v>
      </c>
      <c r="D30" t="s">
        <v>15</v>
      </c>
      <c r="E30" t="s">
        <v>69</v>
      </c>
    </row>
    <row r="31" spans="1:5" x14ac:dyDescent="0.25">
      <c r="A31" s="2">
        <v>2015</v>
      </c>
      <c r="B31" t="s">
        <v>40</v>
      </c>
      <c r="C31" t="s">
        <v>13</v>
      </c>
      <c r="D31" t="s">
        <v>11</v>
      </c>
      <c r="E31" t="s">
        <v>70</v>
      </c>
    </row>
    <row r="32" spans="1:5" x14ac:dyDescent="0.25">
      <c r="A32" s="2">
        <v>2016</v>
      </c>
      <c r="B32" t="s">
        <v>50</v>
      </c>
      <c r="C32" t="s">
        <v>20</v>
      </c>
      <c r="D32" t="s">
        <v>15</v>
      </c>
      <c r="E32" t="s">
        <v>71</v>
      </c>
    </row>
    <row r="33" spans="1:5" x14ac:dyDescent="0.25">
      <c r="A33" s="2">
        <v>2016</v>
      </c>
      <c r="B33" t="s">
        <v>52</v>
      </c>
      <c r="C33" t="s">
        <v>19</v>
      </c>
      <c r="D33" t="s">
        <v>14</v>
      </c>
      <c r="E33" t="s">
        <v>72</v>
      </c>
    </row>
    <row r="34" spans="1:5" x14ac:dyDescent="0.25">
      <c r="A34" s="2">
        <v>2016</v>
      </c>
      <c r="B34" t="s">
        <v>54</v>
      </c>
      <c r="C34" t="s">
        <v>20</v>
      </c>
      <c r="D34" t="s">
        <v>19</v>
      </c>
      <c r="E34" t="s">
        <v>73</v>
      </c>
    </row>
    <row r="35" spans="1:5" x14ac:dyDescent="0.25">
      <c r="A35" s="2">
        <v>2016</v>
      </c>
      <c r="B35" t="s">
        <v>40</v>
      </c>
      <c r="C35" t="s">
        <v>15</v>
      </c>
      <c r="D35" t="s">
        <v>19</v>
      </c>
      <c r="E35" t="s">
        <v>74</v>
      </c>
    </row>
    <row r="36" spans="1:5" x14ac:dyDescent="0.25">
      <c r="A36" s="2">
        <v>2017</v>
      </c>
      <c r="B36" t="s">
        <v>50</v>
      </c>
      <c r="C36" t="s">
        <v>13</v>
      </c>
      <c r="D36" t="s">
        <v>21</v>
      </c>
      <c r="E36" t="s">
        <v>75</v>
      </c>
    </row>
    <row r="37" spans="1:5" x14ac:dyDescent="0.25">
      <c r="A37" s="2">
        <v>2017</v>
      </c>
      <c r="B37" t="s">
        <v>52</v>
      </c>
      <c r="C37" t="s">
        <v>19</v>
      </c>
      <c r="D37" t="s">
        <v>14</v>
      </c>
      <c r="E37" t="s">
        <v>76</v>
      </c>
    </row>
    <row r="38" spans="1:5" x14ac:dyDescent="0.25">
      <c r="A38" s="2">
        <v>2017</v>
      </c>
      <c r="B38" t="s">
        <v>54</v>
      </c>
      <c r="C38" t="s">
        <v>13</v>
      </c>
      <c r="D38" t="s">
        <v>14</v>
      </c>
      <c r="E38" t="s">
        <v>77</v>
      </c>
    </row>
    <row r="39" spans="1:5" x14ac:dyDescent="0.25">
      <c r="A39" s="2">
        <v>2017</v>
      </c>
      <c r="B39" t="s">
        <v>40</v>
      </c>
      <c r="C39" t="s">
        <v>21</v>
      </c>
      <c r="D39" t="s">
        <v>13</v>
      </c>
      <c r="E39" t="s">
        <v>78</v>
      </c>
    </row>
    <row r="40" spans="1:5" x14ac:dyDescent="0.25">
      <c r="A40" s="2">
        <v>2018</v>
      </c>
      <c r="B40" t="s">
        <v>50</v>
      </c>
      <c r="C40" t="s">
        <v>19</v>
      </c>
      <c r="D40" t="s">
        <v>11</v>
      </c>
      <c r="E40" t="s">
        <v>79</v>
      </c>
    </row>
    <row r="41" spans="1:5" x14ac:dyDescent="0.25">
      <c r="A41" s="2">
        <v>2018</v>
      </c>
      <c r="B41" t="s">
        <v>52</v>
      </c>
      <c r="C41" t="s">
        <v>14</v>
      </c>
      <c r="D41" t="s">
        <v>9</v>
      </c>
      <c r="E41" t="s">
        <v>80</v>
      </c>
    </row>
    <row r="42" spans="1:5" x14ac:dyDescent="0.25">
      <c r="A42" s="2">
        <v>2018</v>
      </c>
      <c r="B42" t="s">
        <v>54</v>
      </c>
      <c r="C42" t="s">
        <v>19</v>
      </c>
      <c r="D42" t="s">
        <v>14</v>
      </c>
      <c r="E42" t="s">
        <v>81</v>
      </c>
    </row>
    <row r="43" spans="1:5" x14ac:dyDescent="0.25">
      <c r="A43" s="2">
        <v>2018</v>
      </c>
      <c r="B43" t="s">
        <v>40</v>
      </c>
      <c r="C43" t="s">
        <v>11</v>
      </c>
      <c r="D43" t="s">
        <v>19</v>
      </c>
      <c r="E43" t="s">
        <v>82</v>
      </c>
    </row>
    <row r="44" spans="1:5" x14ac:dyDescent="0.25">
      <c r="A44" s="2">
        <v>2019</v>
      </c>
      <c r="B44" t="s">
        <v>50</v>
      </c>
      <c r="C44" t="s">
        <v>13</v>
      </c>
      <c r="D44" t="s">
        <v>11</v>
      </c>
      <c r="E44" t="s">
        <v>77</v>
      </c>
    </row>
    <row r="45" spans="1:5" x14ac:dyDescent="0.25">
      <c r="A45" s="2">
        <v>2019</v>
      </c>
      <c r="B45" t="s">
        <v>52</v>
      </c>
      <c r="C45" t="s">
        <v>22</v>
      </c>
      <c r="D45" t="s">
        <v>19</v>
      </c>
      <c r="E45" t="s">
        <v>83</v>
      </c>
    </row>
    <row r="46" spans="1:5" x14ac:dyDescent="0.25">
      <c r="A46" s="2">
        <v>2019</v>
      </c>
      <c r="B46" t="s">
        <v>54</v>
      </c>
      <c r="C46" t="s">
        <v>11</v>
      </c>
      <c r="D46" t="s">
        <v>22</v>
      </c>
      <c r="E46" t="s">
        <v>51</v>
      </c>
    </row>
    <row r="47" spans="1:5" x14ac:dyDescent="0.25">
      <c r="A47" s="2">
        <v>2019</v>
      </c>
      <c r="B47" t="s">
        <v>40</v>
      </c>
      <c r="C47" t="s">
        <v>13</v>
      </c>
      <c r="D47" t="s">
        <v>11</v>
      </c>
      <c r="E47" t="s">
        <v>78</v>
      </c>
    </row>
    <row r="48" spans="1:5" x14ac:dyDescent="0.25">
      <c r="A48" s="2">
        <v>2020</v>
      </c>
      <c r="B48" t="s">
        <v>50</v>
      </c>
      <c r="C48" t="s">
        <v>13</v>
      </c>
      <c r="D48" t="s">
        <v>22</v>
      </c>
      <c r="E48" t="s">
        <v>84</v>
      </c>
    </row>
    <row r="49" spans="1:5" x14ac:dyDescent="0.25">
      <c r="A49" s="2">
        <v>2020</v>
      </c>
      <c r="B49" t="s">
        <v>52</v>
      </c>
      <c r="C49" t="s">
        <v>19</v>
      </c>
      <c r="D49" t="s">
        <v>15</v>
      </c>
      <c r="E49" t="s">
        <v>85</v>
      </c>
    </row>
    <row r="50" spans="1:5" x14ac:dyDescent="0.25">
      <c r="A50" s="2">
        <v>2020</v>
      </c>
      <c r="B50" t="s">
        <v>54</v>
      </c>
      <c r="C50" t="s">
        <v>22</v>
      </c>
      <c r="D50" t="s">
        <v>19</v>
      </c>
      <c r="E50" t="s">
        <v>86</v>
      </c>
    </row>
    <row r="51" spans="1:5" x14ac:dyDescent="0.25">
      <c r="A51" s="2">
        <v>2020</v>
      </c>
      <c r="B51" t="s">
        <v>40</v>
      </c>
      <c r="C51" t="s">
        <v>13</v>
      </c>
      <c r="D51" t="s">
        <v>22</v>
      </c>
      <c r="E51" t="s">
        <v>87</v>
      </c>
    </row>
    <row r="52" spans="1:5" x14ac:dyDescent="0.25">
      <c r="A52" s="2">
        <v>2021</v>
      </c>
      <c r="B52" t="s">
        <v>50</v>
      </c>
      <c r="C52" t="s">
        <v>22</v>
      </c>
      <c r="D52" t="s">
        <v>11</v>
      </c>
      <c r="E52" t="s">
        <v>88</v>
      </c>
    </row>
    <row r="53" spans="1:5" x14ac:dyDescent="0.25">
      <c r="A53" s="2">
        <v>2021</v>
      </c>
      <c r="B53" t="s">
        <v>52</v>
      </c>
      <c r="C53" t="s">
        <v>15</v>
      </c>
      <c r="D53" t="s">
        <v>14</v>
      </c>
      <c r="E53" t="s">
        <v>89</v>
      </c>
    </row>
    <row r="54" spans="1:5" x14ac:dyDescent="0.25">
      <c r="A54" s="2">
        <v>2021</v>
      </c>
      <c r="B54" t="s">
        <v>54</v>
      </c>
      <c r="C54" t="s">
        <v>22</v>
      </c>
      <c r="D54" t="s">
        <v>14</v>
      </c>
      <c r="E54" t="s">
        <v>66</v>
      </c>
    </row>
    <row r="55" spans="1:5" x14ac:dyDescent="0.25">
      <c r="A55" s="2">
        <v>2021</v>
      </c>
      <c r="B55" t="s">
        <v>40</v>
      </c>
      <c r="C55" t="s">
        <v>11</v>
      </c>
      <c r="D55" t="s">
        <v>14</v>
      </c>
      <c r="E55" t="s">
        <v>90</v>
      </c>
    </row>
    <row r="56" spans="1:5" x14ac:dyDescent="0.25">
      <c r="A56" s="2">
        <v>2022</v>
      </c>
      <c r="B56" t="s">
        <v>50</v>
      </c>
      <c r="C56" t="s">
        <v>24</v>
      </c>
      <c r="D56" t="s">
        <v>9</v>
      </c>
      <c r="E56" t="s">
        <v>91</v>
      </c>
    </row>
    <row r="57" spans="1:5" x14ac:dyDescent="0.25">
      <c r="A57" s="2">
        <v>2022</v>
      </c>
      <c r="B57" t="s">
        <v>52</v>
      </c>
      <c r="C57" t="s">
        <v>25</v>
      </c>
      <c r="D57" t="s">
        <v>15</v>
      </c>
      <c r="E57" t="s">
        <v>92</v>
      </c>
    </row>
    <row r="58" spans="1:5" x14ac:dyDescent="0.25">
      <c r="A58" s="2">
        <v>2022</v>
      </c>
      <c r="B58" t="s">
        <v>54</v>
      </c>
      <c r="C58" t="s">
        <v>9</v>
      </c>
      <c r="D58" t="s">
        <v>15</v>
      </c>
      <c r="E58" t="s">
        <v>93</v>
      </c>
    </row>
    <row r="59" spans="1:5" x14ac:dyDescent="0.25">
      <c r="A59" s="2">
        <v>2022</v>
      </c>
      <c r="B59" t="s">
        <v>40</v>
      </c>
      <c r="C59" t="s">
        <v>24</v>
      </c>
      <c r="D59" t="s">
        <v>9</v>
      </c>
      <c r="E59" t="s">
        <v>91</v>
      </c>
    </row>
    <row r="60" spans="1:5" x14ac:dyDescent="0.25">
      <c r="A60" s="2">
        <v>2023</v>
      </c>
      <c r="B60" t="s">
        <v>50</v>
      </c>
      <c r="C60" t="s">
        <v>24</v>
      </c>
      <c r="D60" t="s">
        <v>11</v>
      </c>
      <c r="E60" t="s">
        <v>94</v>
      </c>
    </row>
    <row r="61" spans="1:5" x14ac:dyDescent="0.25">
      <c r="A61" s="2">
        <v>2023</v>
      </c>
      <c r="B61" t="s">
        <v>52</v>
      </c>
      <c r="C61" t="s">
        <v>25</v>
      </c>
      <c r="D61" t="s">
        <v>13</v>
      </c>
      <c r="E61" t="s">
        <v>95</v>
      </c>
    </row>
    <row r="62" spans="1:5" x14ac:dyDescent="0.25">
      <c r="A62" s="2">
        <v>2023</v>
      </c>
      <c r="B62" t="s">
        <v>54</v>
      </c>
      <c r="C62" t="s">
        <v>13</v>
      </c>
      <c r="D62" t="s">
        <v>24</v>
      </c>
      <c r="E62" t="s">
        <v>96</v>
      </c>
    </row>
    <row r="63" spans="1:5" x14ac:dyDescent="0.25">
      <c r="A63" s="2">
        <v>2023</v>
      </c>
      <c r="B63" t="s">
        <v>40</v>
      </c>
      <c r="C63" t="s">
        <v>11</v>
      </c>
      <c r="D63" t="s">
        <v>24</v>
      </c>
      <c r="E63" t="s">
        <v>97</v>
      </c>
    </row>
    <row r="64" spans="1:5" x14ac:dyDescent="0.25">
      <c r="A64" s="2">
        <v>2024</v>
      </c>
      <c r="B64" t="s">
        <v>50</v>
      </c>
      <c r="C64" t="s">
        <v>19</v>
      </c>
      <c r="D64" t="s">
        <v>9</v>
      </c>
      <c r="E64" t="s">
        <v>98</v>
      </c>
    </row>
    <row r="65" spans="1:5" x14ac:dyDescent="0.25">
      <c r="A65" s="2">
        <v>2024</v>
      </c>
      <c r="B65" t="s">
        <v>52</v>
      </c>
      <c r="C65" t="s">
        <v>26</v>
      </c>
      <c r="D65" t="s">
        <v>9</v>
      </c>
      <c r="E65" t="s">
        <v>61</v>
      </c>
    </row>
    <row r="66" spans="1:5" x14ac:dyDescent="0.25">
      <c r="A66" s="2">
        <v>2024</v>
      </c>
      <c r="B66" t="s">
        <v>54</v>
      </c>
      <c r="C66" t="s">
        <v>9</v>
      </c>
      <c r="D66" t="s">
        <v>14</v>
      </c>
      <c r="E66" t="s">
        <v>99</v>
      </c>
    </row>
    <row r="67" spans="1:5" x14ac:dyDescent="0.25">
      <c r="A67" s="2">
        <v>2024</v>
      </c>
      <c r="B67" t="s">
        <v>40</v>
      </c>
      <c r="C67" t="s">
        <v>19</v>
      </c>
      <c r="D67" t="s">
        <v>14</v>
      </c>
      <c r="E67" t="s">
        <v>99</v>
      </c>
    </row>
    <row r="68" spans="1:5" x14ac:dyDescent="0.25">
      <c r="A68" s="2">
        <v>2025</v>
      </c>
      <c r="B68" t="s">
        <v>50</v>
      </c>
      <c r="C68" t="s">
        <v>23</v>
      </c>
      <c r="D68" t="s">
        <v>26</v>
      </c>
      <c r="E68" t="s">
        <v>100</v>
      </c>
    </row>
    <row r="69" spans="1:5" x14ac:dyDescent="0.25">
      <c r="A69" s="2">
        <v>2025</v>
      </c>
      <c r="B69" t="s">
        <v>52</v>
      </c>
      <c r="C69" t="s">
        <v>13</v>
      </c>
      <c r="D69" t="s">
        <v>24</v>
      </c>
      <c r="E69" t="s">
        <v>101</v>
      </c>
    </row>
    <row r="70" spans="1:5" x14ac:dyDescent="0.25">
      <c r="A70" s="2">
        <v>2025</v>
      </c>
      <c r="B70" t="s">
        <v>54</v>
      </c>
      <c r="C70" t="s">
        <v>13</v>
      </c>
      <c r="D70" t="s">
        <v>23</v>
      </c>
      <c r="E70" t="s">
        <v>102</v>
      </c>
    </row>
    <row r="71" spans="1:5" x14ac:dyDescent="0.25">
      <c r="A71" s="2">
        <v>2025</v>
      </c>
      <c r="B71" t="s">
        <v>40</v>
      </c>
      <c r="C71" t="s">
        <v>26</v>
      </c>
      <c r="D71" t="s">
        <v>23</v>
      </c>
      <c r="E71" t="s">
        <v>103</v>
      </c>
    </row>
    <row r="72" spans="1:5" x14ac:dyDescent="0.25">
      <c r="A72" s="2">
        <v>2026</v>
      </c>
      <c r="B72" t="s">
        <v>50</v>
      </c>
      <c r="C72" t="s">
        <v>26</v>
      </c>
      <c r="D72" t="s">
        <v>24</v>
      </c>
      <c r="E72" t="s">
        <v>104</v>
      </c>
    </row>
    <row r="73" spans="1:5" x14ac:dyDescent="0.25">
      <c r="A73" s="2">
        <v>2026</v>
      </c>
      <c r="B73" t="s">
        <v>52</v>
      </c>
      <c r="C73" t="s">
        <v>19</v>
      </c>
      <c r="D73" t="s">
        <v>9</v>
      </c>
      <c r="E73" t="s">
        <v>106</v>
      </c>
    </row>
    <row r="74" spans="1:5" x14ac:dyDescent="0.25">
      <c r="A74" s="2">
        <v>2026</v>
      </c>
      <c r="B74" t="s">
        <v>54</v>
      </c>
      <c r="C74" t="s">
        <v>24</v>
      </c>
      <c r="D74" t="s">
        <v>9</v>
      </c>
      <c r="E74" t="s">
        <v>91</v>
      </c>
    </row>
    <row r="75" spans="1:5" x14ac:dyDescent="0.25">
      <c r="A75" s="2">
        <v>2026</v>
      </c>
      <c r="B75" t="s">
        <v>40</v>
      </c>
      <c r="C75" t="s">
        <v>26</v>
      </c>
      <c r="D75" t="s">
        <v>24</v>
      </c>
      <c r="E75" t="s">
        <v>105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620DA-7EAC-40AA-B56F-72E112147298}">
  <dimension ref="A1:T1048"/>
  <sheetViews>
    <sheetView workbookViewId="0">
      <pane ySplit="1" topLeftCell="A2" activePane="bottomLeft" state="frozen"/>
      <selection pane="bottomLeft" activeCell="T2" sqref="T2"/>
    </sheetView>
  </sheetViews>
  <sheetFormatPr defaultColWidth="9.140625" defaultRowHeight="15" x14ac:dyDescent="0.25"/>
  <cols>
    <col min="1" max="1" width="15.42578125" style="7" bestFit="1" customWidth="1"/>
    <col min="2" max="3" width="28.42578125" style="7" bestFit="1" customWidth="1"/>
    <col min="4" max="4" width="20" style="7" bestFit="1" customWidth="1"/>
    <col min="5" max="5" width="6.42578125" style="7" bestFit="1" customWidth="1"/>
    <col min="6" max="6" width="9.140625" style="7" bestFit="1" customWidth="1"/>
    <col min="7" max="7" width="9.5703125" style="7" bestFit="1" customWidth="1"/>
    <col min="8" max="8" width="7.42578125" style="7" customWidth="1"/>
    <col min="9" max="9" width="8.42578125" style="7" customWidth="1"/>
    <col min="10" max="14" width="9.140625" style="7"/>
    <col min="15" max="15" width="9.140625" style="16"/>
    <col min="16" max="19" width="9.140625" style="7"/>
    <col min="20" max="20" width="28.42578125" style="7" bestFit="1" customWidth="1"/>
    <col min="21" max="16384" width="9.140625" style="7"/>
  </cols>
  <sheetData>
    <row r="1" spans="1:20" s="5" customFormat="1" ht="12" x14ac:dyDescent="0.2">
      <c r="A1" s="5" t="s">
        <v>27</v>
      </c>
      <c r="B1" s="5" t="s">
        <v>134</v>
      </c>
      <c r="C1" s="4" t="s">
        <v>1</v>
      </c>
      <c r="D1" s="5" t="s">
        <v>135</v>
      </c>
      <c r="E1" s="5" t="s">
        <v>136</v>
      </c>
      <c r="F1" s="5" t="s">
        <v>137</v>
      </c>
      <c r="G1" s="5" t="s">
        <v>138</v>
      </c>
      <c r="H1" s="5" t="s">
        <v>3</v>
      </c>
      <c r="I1" s="5" t="s">
        <v>4</v>
      </c>
      <c r="J1" s="5" t="s">
        <v>139</v>
      </c>
      <c r="K1" s="6" t="s">
        <v>140</v>
      </c>
      <c r="L1" s="4" t="s">
        <v>141</v>
      </c>
      <c r="M1" s="4" t="s">
        <v>142</v>
      </c>
      <c r="N1" s="4" t="s">
        <v>143</v>
      </c>
      <c r="O1" s="4" t="s">
        <v>144</v>
      </c>
      <c r="P1" s="5" t="s">
        <v>145</v>
      </c>
      <c r="Q1" s="5" t="s">
        <v>146</v>
      </c>
      <c r="R1" s="5" t="s">
        <v>147</v>
      </c>
      <c r="S1" s="5" t="s">
        <v>148</v>
      </c>
      <c r="T1" s="4" t="s">
        <v>706</v>
      </c>
    </row>
    <row r="2" spans="1:20" x14ac:dyDescent="0.25">
      <c r="A2" s="7" t="s">
        <v>150</v>
      </c>
      <c r="B2" s="7" t="s">
        <v>151</v>
      </c>
      <c r="C2" s="7" t="s">
        <v>149</v>
      </c>
      <c r="D2" s="7" t="s">
        <v>152</v>
      </c>
      <c r="H2" s="7">
        <v>26</v>
      </c>
      <c r="I2" s="7">
        <v>12</v>
      </c>
      <c r="J2" s="8">
        <f t="shared" ref="J2:J65" si="0">H2/SUM(H2:I2)</f>
        <v>0.68421052631578949</v>
      </c>
      <c r="K2" s="8" t="s">
        <v>30</v>
      </c>
      <c r="L2" s="8" t="s">
        <v>30</v>
      </c>
      <c r="M2" s="8" t="s">
        <v>30</v>
      </c>
      <c r="N2" s="9" t="s">
        <v>30</v>
      </c>
      <c r="O2" s="9" t="s">
        <v>30</v>
      </c>
      <c r="P2" s="7">
        <v>3</v>
      </c>
      <c r="Q2" s="7">
        <v>0</v>
      </c>
      <c r="R2" s="7">
        <v>2</v>
      </c>
      <c r="S2" s="7">
        <v>0</v>
      </c>
      <c r="T2" s="7" t="s">
        <v>149</v>
      </c>
    </row>
    <row r="3" spans="1:20" x14ac:dyDescent="0.25">
      <c r="A3" s="7" t="s">
        <v>150</v>
      </c>
      <c r="B3" s="7" t="s">
        <v>151</v>
      </c>
      <c r="C3" s="7" t="s">
        <v>153</v>
      </c>
      <c r="D3" s="7" t="s">
        <v>154</v>
      </c>
      <c r="H3" s="7">
        <v>25</v>
      </c>
      <c r="I3" s="7">
        <v>13</v>
      </c>
      <c r="J3" s="8">
        <f t="shared" si="0"/>
        <v>0.65789473684210531</v>
      </c>
      <c r="K3" s="8" t="s">
        <v>30</v>
      </c>
      <c r="L3" s="8" t="s">
        <v>30</v>
      </c>
      <c r="M3" s="8" t="s">
        <v>30</v>
      </c>
      <c r="N3" s="9"/>
      <c r="O3" s="9"/>
      <c r="P3" s="7">
        <v>3</v>
      </c>
      <c r="Q3" s="7">
        <v>2</v>
      </c>
      <c r="R3" s="7">
        <v>0</v>
      </c>
      <c r="S3" s="7">
        <v>1</v>
      </c>
      <c r="T3" s="7" t="s">
        <v>153</v>
      </c>
    </row>
    <row r="4" spans="1:20" x14ac:dyDescent="0.25">
      <c r="A4" s="7" t="s">
        <v>150</v>
      </c>
      <c r="B4" s="7" t="s">
        <v>151</v>
      </c>
      <c r="C4" s="7" t="s">
        <v>155</v>
      </c>
      <c r="D4" s="7" t="s">
        <v>154</v>
      </c>
      <c r="H4" s="7">
        <v>24</v>
      </c>
      <c r="I4" s="7">
        <v>14</v>
      </c>
      <c r="J4" s="8">
        <f t="shared" si="0"/>
        <v>0.63157894736842102</v>
      </c>
      <c r="K4" s="8" t="s">
        <v>30</v>
      </c>
      <c r="L4" s="8" t="s">
        <v>30</v>
      </c>
      <c r="M4" s="8" t="s">
        <v>30</v>
      </c>
      <c r="N4" s="9" t="s">
        <v>30</v>
      </c>
      <c r="O4" s="9"/>
      <c r="P4" s="7">
        <v>3</v>
      </c>
      <c r="Q4" s="7">
        <v>1</v>
      </c>
      <c r="R4" s="7">
        <v>1</v>
      </c>
      <c r="S4" s="7">
        <v>1</v>
      </c>
      <c r="T4" s="7" t="s">
        <v>155</v>
      </c>
    </row>
    <row r="5" spans="1:20" x14ac:dyDescent="0.25">
      <c r="A5" s="7" t="s">
        <v>150</v>
      </c>
      <c r="B5" s="7" t="s">
        <v>151</v>
      </c>
      <c r="C5" s="7" t="s">
        <v>156</v>
      </c>
      <c r="D5" s="7" t="s">
        <v>157</v>
      </c>
      <c r="H5" s="7">
        <v>24</v>
      </c>
      <c r="I5" s="7">
        <v>14</v>
      </c>
      <c r="J5" s="8">
        <f t="shared" si="0"/>
        <v>0.63157894736842102</v>
      </c>
      <c r="K5" s="8" t="s">
        <v>30</v>
      </c>
      <c r="L5" s="8" t="s">
        <v>30</v>
      </c>
      <c r="M5" s="8" t="s">
        <v>30</v>
      </c>
      <c r="N5" s="9"/>
      <c r="O5" s="9"/>
      <c r="P5" s="7">
        <v>3</v>
      </c>
      <c r="Q5" s="7">
        <v>1</v>
      </c>
      <c r="R5" s="7">
        <v>0</v>
      </c>
      <c r="S5" s="7">
        <v>1</v>
      </c>
      <c r="T5" s="7" t="s">
        <v>156</v>
      </c>
    </row>
    <row r="6" spans="1:20" x14ac:dyDescent="0.25">
      <c r="A6" s="7" t="s">
        <v>150</v>
      </c>
      <c r="B6" s="7" t="s">
        <v>151</v>
      </c>
      <c r="C6" s="7" t="s">
        <v>158</v>
      </c>
      <c r="D6" s="7" t="s">
        <v>159</v>
      </c>
      <c r="H6" s="7">
        <v>23</v>
      </c>
      <c r="I6" s="7">
        <v>15</v>
      </c>
      <c r="J6" s="8">
        <f t="shared" si="0"/>
        <v>0.60526315789473684</v>
      </c>
      <c r="K6" s="8" t="s">
        <v>30</v>
      </c>
      <c r="L6" s="8" t="s">
        <v>30</v>
      </c>
      <c r="M6" s="9"/>
      <c r="N6" s="9"/>
      <c r="O6" s="9"/>
      <c r="P6" s="7">
        <v>1</v>
      </c>
      <c r="Q6" s="7">
        <v>3</v>
      </c>
      <c r="T6" s="7" t="s">
        <v>158</v>
      </c>
    </row>
    <row r="7" spans="1:20" x14ac:dyDescent="0.25">
      <c r="A7" s="7" t="s">
        <v>150</v>
      </c>
      <c r="B7" s="7" t="s">
        <v>151</v>
      </c>
      <c r="C7" s="7" t="s">
        <v>160</v>
      </c>
      <c r="D7" s="7" t="s">
        <v>161</v>
      </c>
      <c r="H7" s="7">
        <v>23</v>
      </c>
      <c r="I7" s="7">
        <v>15</v>
      </c>
      <c r="J7" s="8">
        <f t="shared" si="0"/>
        <v>0.60526315789473684</v>
      </c>
      <c r="K7" s="8" t="s">
        <v>30</v>
      </c>
      <c r="L7" s="8" t="s">
        <v>30</v>
      </c>
      <c r="M7" s="9"/>
      <c r="N7" s="9"/>
      <c r="O7" s="9"/>
      <c r="P7" s="7">
        <v>1</v>
      </c>
      <c r="Q7" s="7">
        <v>3</v>
      </c>
      <c r="T7" s="7" t="s">
        <v>160</v>
      </c>
    </row>
    <row r="8" spans="1:20" x14ac:dyDescent="0.25">
      <c r="A8" s="7" t="s">
        <v>150</v>
      </c>
      <c r="B8" s="7" t="s">
        <v>151</v>
      </c>
      <c r="C8" s="7" t="s">
        <v>162</v>
      </c>
      <c r="D8" s="7" t="s">
        <v>152</v>
      </c>
      <c r="H8" s="7">
        <v>22</v>
      </c>
      <c r="I8" s="7">
        <v>16</v>
      </c>
      <c r="J8" s="8">
        <f t="shared" si="0"/>
        <v>0.57894736842105265</v>
      </c>
      <c r="K8" s="8" t="s">
        <v>30</v>
      </c>
      <c r="L8" s="8" t="s">
        <v>30</v>
      </c>
      <c r="M8" s="9"/>
      <c r="N8" s="9"/>
      <c r="O8" s="9"/>
      <c r="P8" s="7">
        <v>2</v>
      </c>
      <c r="Q8" s="7">
        <v>3</v>
      </c>
      <c r="T8" s="7" t="s">
        <v>162</v>
      </c>
    </row>
    <row r="9" spans="1:20" x14ac:dyDescent="0.25">
      <c r="A9" s="7" t="s">
        <v>150</v>
      </c>
      <c r="B9" s="7" t="s">
        <v>151</v>
      </c>
      <c r="C9" s="7" t="s">
        <v>163</v>
      </c>
      <c r="D9" s="7" t="s">
        <v>164</v>
      </c>
      <c r="H9" s="7">
        <v>22</v>
      </c>
      <c r="I9" s="7">
        <v>16</v>
      </c>
      <c r="J9" s="8">
        <f t="shared" si="0"/>
        <v>0.57894736842105265</v>
      </c>
      <c r="K9" s="8" t="s">
        <v>30</v>
      </c>
      <c r="L9" s="8" t="s">
        <v>30</v>
      </c>
      <c r="M9" s="9"/>
      <c r="N9" s="9"/>
      <c r="O9" s="9"/>
      <c r="P9" s="7">
        <v>0</v>
      </c>
      <c r="Q9" s="7">
        <v>3</v>
      </c>
      <c r="T9" s="7" t="s">
        <v>163</v>
      </c>
    </row>
    <row r="10" spans="1:20" x14ac:dyDescent="0.25">
      <c r="A10" s="7" t="s">
        <v>150</v>
      </c>
      <c r="B10" s="7" t="s">
        <v>151</v>
      </c>
      <c r="C10" s="7" t="s">
        <v>581</v>
      </c>
      <c r="D10" s="7" t="s">
        <v>154</v>
      </c>
      <c r="H10" s="7">
        <v>21</v>
      </c>
      <c r="I10" s="7">
        <v>17</v>
      </c>
      <c r="J10" s="8">
        <f t="shared" si="0"/>
        <v>0.55263157894736847</v>
      </c>
      <c r="K10" s="8" t="s">
        <v>30</v>
      </c>
      <c r="L10" s="9"/>
      <c r="M10" s="9"/>
      <c r="N10" s="9"/>
      <c r="O10" s="9"/>
      <c r="T10" s="7" t="s">
        <v>581</v>
      </c>
    </row>
    <row r="11" spans="1:20" x14ac:dyDescent="0.25">
      <c r="A11" s="7" t="s">
        <v>150</v>
      </c>
      <c r="B11" s="7" t="s">
        <v>151</v>
      </c>
      <c r="C11" s="7" t="s">
        <v>165</v>
      </c>
      <c r="D11" s="7" t="s">
        <v>166</v>
      </c>
      <c r="H11" s="7">
        <v>21</v>
      </c>
      <c r="I11" s="7">
        <v>17</v>
      </c>
      <c r="J11" s="8">
        <f t="shared" si="0"/>
        <v>0.55263157894736847</v>
      </c>
      <c r="K11" s="8" t="s">
        <v>30</v>
      </c>
      <c r="L11" s="9"/>
      <c r="M11" s="9"/>
      <c r="N11" s="9"/>
      <c r="O11" s="9"/>
      <c r="T11" s="7" t="s">
        <v>165</v>
      </c>
    </row>
    <row r="12" spans="1:20" x14ac:dyDescent="0.25">
      <c r="A12" s="7" t="s">
        <v>150</v>
      </c>
      <c r="B12" s="7" t="s">
        <v>151</v>
      </c>
      <c r="C12" s="7" t="s">
        <v>167</v>
      </c>
      <c r="D12" s="7" t="s">
        <v>168</v>
      </c>
      <c r="H12" s="7">
        <v>19</v>
      </c>
      <c r="I12" s="7">
        <v>19</v>
      </c>
      <c r="J12" s="8">
        <f t="shared" si="0"/>
        <v>0.5</v>
      </c>
      <c r="K12" s="10"/>
      <c r="L12" s="9"/>
      <c r="M12" s="9"/>
      <c r="N12" s="9"/>
      <c r="O12" s="9"/>
      <c r="T12" s="7" t="s">
        <v>167</v>
      </c>
    </row>
    <row r="13" spans="1:20" x14ac:dyDescent="0.25">
      <c r="A13" s="7" t="s">
        <v>150</v>
      </c>
      <c r="B13" s="7" t="s">
        <v>151</v>
      </c>
      <c r="C13" s="7" t="s">
        <v>169</v>
      </c>
      <c r="D13" s="7" t="s">
        <v>161</v>
      </c>
      <c r="H13" s="7">
        <v>18</v>
      </c>
      <c r="I13" s="7">
        <v>20</v>
      </c>
      <c r="J13" s="8">
        <f t="shared" si="0"/>
        <v>0.47368421052631576</v>
      </c>
      <c r="K13" s="8"/>
      <c r="L13" s="8"/>
      <c r="M13" s="9"/>
      <c r="N13" s="9"/>
      <c r="O13" s="9"/>
      <c r="T13" s="7" t="s">
        <v>169</v>
      </c>
    </row>
    <row r="14" spans="1:20" x14ac:dyDescent="0.25">
      <c r="A14" s="7" t="s">
        <v>150</v>
      </c>
      <c r="B14" s="7" t="s">
        <v>151</v>
      </c>
      <c r="C14" s="7" t="s">
        <v>170</v>
      </c>
      <c r="D14" s="7" t="s">
        <v>171</v>
      </c>
      <c r="H14" s="7">
        <v>17</v>
      </c>
      <c r="I14" s="7">
        <v>21</v>
      </c>
      <c r="J14" s="8">
        <f t="shared" si="0"/>
        <v>0.44736842105263158</v>
      </c>
      <c r="K14" s="10"/>
      <c r="L14" s="9"/>
      <c r="M14" s="9"/>
      <c r="N14" s="9"/>
      <c r="O14" s="9"/>
      <c r="T14" s="7" t="s">
        <v>170</v>
      </c>
    </row>
    <row r="15" spans="1:20" x14ac:dyDescent="0.25">
      <c r="A15" s="7" t="s">
        <v>150</v>
      </c>
      <c r="B15" s="7" t="s">
        <v>151</v>
      </c>
      <c r="C15" s="7" t="s">
        <v>172</v>
      </c>
      <c r="D15" s="7" t="s">
        <v>173</v>
      </c>
      <c r="H15" s="7">
        <v>17</v>
      </c>
      <c r="I15" s="7">
        <v>21</v>
      </c>
      <c r="J15" s="8">
        <f t="shared" si="0"/>
        <v>0.44736842105263158</v>
      </c>
      <c r="K15" s="10"/>
      <c r="L15" s="9"/>
      <c r="M15" s="9"/>
      <c r="N15" s="9"/>
      <c r="O15" s="9"/>
      <c r="T15" s="7" t="s">
        <v>172</v>
      </c>
    </row>
    <row r="16" spans="1:20" x14ac:dyDescent="0.25">
      <c r="A16" s="7" t="s">
        <v>150</v>
      </c>
      <c r="B16" s="7" t="s">
        <v>151</v>
      </c>
      <c r="C16" s="7" t="s">
        <v>174</v>
      </c>
      <c r="D16" s="7" t="s">
        <v>166</v>
      </c>
      <c r="H16" s="7">
        <v>16</v>
      </c>
      <c r="I16" s="7">
        <v>22</v>
      </c>
      <c r="J16" s="8">
        <f t="shared" si="0"/>
        <v>0.42105263157894735</v>
      </c>
      <c r="K16" s="10"/>
      <c r="L16" s="9"/>
      <c r="M16" s="9"/>
      <c r="N16" s="9"/>
      <c r="O16" s="9"/>
      <c r="T16" s="7" t="s">
        <v>174</v>
      </c>
    </row>
    <row r="17" spans="1:20" x14ac:dyDescent="0.25">
      <c r="A17" s="7" t="s">
        <v>150</v>
      </c>
      <c r="B17" s="7" t="s">
        <v>151</v>
      </c>
      <c r="C17" s="7" t="s">
        <v>175</v>
      </c>
      <c r="D17" s="7" t="s">
        <v>164</v>
      </c>
      <c r="H17" s="7">
        <v>15</v>
      </c>
      <c r="I17" s="7">
        <v>23</v>
      </c>
      <c r="J17" s="8">
        <f t="shared" si="0"/>
        <v>0.39473684210526316</v>
      </c>
      <c r="K17" s="10"/>
      <c r="L17" s="9"/>
      <c r="M17" s="9"/>
      <c r="N17" s="9"/>
      <c r="O17" s="9"/>
      <c r="T17" s="7" t="s">
        <v>175</v>
      </c>
    </row>
    <row r="18" spans="1:20" x14ac:dyDescent="0.25">
      <c r="A18" s="7" t="s">
        <v>150</v>
      </c>
      <c r="B18" s="7" t="s">
        <v>151</v>
      </c>
      <c r="C18" s="7" t="s">
        <v>176</v>
      </c>
      <c r="D18" s="7" t="s">
        <v>171</v>
      </c>
      <c r="H18" s="7">
        <v>14</v>
      </c>
      <c r="I18" s="7">
        <v>24</v>
      </c>
      <c r="J18" s="8">
        <f t="shared" si="0"/>
        <v>0.36842105263157893</v>
      </c>
      <c r="K18" s="8"/>
      <c r="L18" s="9"/>
      <c r="M18" s="9"/>
      <c r="N18" s="9"/>
      <c r="O18" s="9"/>
      <c r="T18" s="7" t="s">
        <v>176</v>
      </c>
    </row>
    <row r="19" spans="1:20" x14ac:dyDescent="0.25">
      <c r="A19" s="7" t="s">
        <v>150</v>
      </c>
      <c r="B19" s="7" t="s">
        <v>151</v>
      </c>
      <c r="C19" s="7" t="s">
        <v>177</v>
      </c>
      <c r="D19" s="7" t="s">
        <v>154</v>
      </c>
      <c r="H19" s="7">
        <v>13</v>
      </c>
      <c r="I19" s="7">
        <v>25</v>
      </c>
      <c r="J19" s="8">
        <f t="shared" si="0"/>
        <v>0.34210526315789475</v>
      </c>
      <c r="K19" s="8"/>
      <c r="L19" s="8"/>
      <c r="M19" s="9"/>
      <c r="N19" s="9"/>
      <c r="O19" s="9"/>
      <c r="T19" s="7" t="s">
        <v>177</v>
      </c>
    </row>
    <row r="20" spans="1:20" x14ac:dyDescent="0.25">
      <c r="A20" s="7" t="s">
        <v>150</v>
      </c>
      <c r="B20" s="7" t="s">
        <v>151</v>
      </c>
      <c r="C20" s="7" t="s">
        <v>178</v>
      </c>
      <c r="D20" s="7" t="s">
        <v>157</v>
      </c>
      <c r="H20" s="7">
        <v>12</v>
      </c>
      <c r="I20" s="7">
        <v>26</v>
      </c>
      <c r="J20" s="8">
        <f t="shared" si="0"/>
        <v>0.31578947368421051</v>
      </c>
      <c r="K20" s="8"/>
      <c r="L20" s="9"/>
      <c r="M20" s="9"/>
      <c r="N20" s="9"/>
      <c r="O20" s="9"/>
      <c r="T20" s="7" t="s">
        <v>178</v>
      </c>
    </row>
    <row r="21" spans="1:20" x14ac:dyDescent="0.25">
      <c r="A21" s="7" t="s">
        <v>150</v>
      </c>
      <c r="B21" s="7" t="s">
        <v>151</v>
      </c>
      <c r="C21" s="7" t="s">
        <v>179</v>
      </c>
      <c r="D21" s="7" t="s">
        <v>164</v>
      </c>
      <c r="H21" s="7">
        <v>8</v>
      </c>
      <c r="I21" s="7">
        <v>30</v>
      </c>
      <c r="J21" s="8">
        <f t="shared" si="0"/>
        <v>0.21052631578947367</v>
      </c>
      <c r="K21" s="10"/>
      <c r="L21" s="9"/>
      <c r="M21" s="9"/>
      <c r="N21" s="9"/>
      <c r="O21" s="9"/>
      <c r="T21" s="7" t="s">
        <v>179</v>
      </c>
    </row>
    <row r="22" spans="1:20" x14ac:dyDescent="0.25">
      <c r="A22" s="7" t="s">
        <v>180</v>
      </c>
      <c r="B22" s="7" t="s">
        <v>151</v>
      </c>
      <c r="C22" s="7" t="s">
        <v>149</v>
      </c>
      <c r="D22" s="7" t="s">
        <v>152</v>
      </c>
      <c r="H22" s="7">
        <v>24</v>
      </c>
      <c r="I22" s="7">
        <v>10</v>
      </c>
      <c r="J22" s="8">
        <f t="shared" si="0"/>
        <v>0.70588235294117652</v>
      </c>
      <c r="K22" s="8" t="s">
        <v>30</v>
      </c>
      <c r="L22" s="8" t="s">
        <v>30</v>
      </c>
      <c r="M22" s="8" t="s">
        <v>30</v>
      </c>
      <c r="N22" s="9"/>
      <c r="O22" s="9"/>
      <c r="P22" s="7">
        <v>3</v>
      </c>
      <c r="Q22" s="7">
        <v>1</v>
      </c>
      <c r="R22" s="7">
        <v>1</v>
      </c>
      <c r="S22" s="7">
        <v>1</v>
      </c>
      <c r="T22" s="7" t="s">
        <v>149</v>
      </c>
    </row>
    <row r="23" spans="1:20" x14ac:dyDescent="0.25">
      <c r="A23" s="7" t="s">
        <v>180</v>
      </c>
      <c r="B23" s="7" t="s">
        <v>151</v>
      </c>
      <c r="C23" s="7" t="s">
        <v>156</v>
      </c>
      <c r="D23" s="7" t="s">
        <v>157</v>
      </c>
      <c r="H23" s="7">
        <v>23</v>
      </c>
      <c r="I23" s="7">
        <v>11</v>
      </c>
      <c r="J23" s="8">
        <f t="shared" si="0"/>
        <v>0.67647058823529416</v>
      </c>
      <c r="K23" s="8" t="s">
        <v>30</v>
      </c>
      <c r="L23" s="8" t="s">
        <v>30</v>
      </c>
      <c r="M23" s="8" t="s">
        <v>30</v>
      </c>
      <c r="N23" s="8" t="s">
        <v>30</v>
      </c>
      <c r="O23" s="9" t="s">
        <v>30</v>
      </c>
      <c r="P23" s="7">
        <v>3</v>
      </c>
      <c r="Q23" s="7">
        <v>0</v>
      </c>
      <c r="R23" s="7">
        <v>2</v>
      </c>
      <c r="S23" s="7">
        <v>0</v>
      </c>
      <c r="T23" s="7" t="s">
        <v>156</v>
      </c>
    </row>
    <row r="24" spans="1:20" x14ac:dyDescent="0.25">
      <c r="A24" s="7" t="s">
        <v>180</v>
      </c>
      <c r="B24" s="7" t="s">
        <v>151</v>
      </c>
      <c r="C24" s="7" t="s">
        <v>162</v>
      </c>
      <c r="D24" s="7" t="s">
        <v>152</v>
      </c>
      <c r="H24" s="7">
        <v>22</v>
      </c>
      <c r="I24" s="7">
        <v>12</v>
      </c>
      <c r="J24" s="8">
        <f t="shared" si="0"/>
        <v>0.6470588235294118</v>
      </c>
      <c r="K24" s="8" t="s">
        <v>30</v>
      </c>
      <c r="L24" s="8" t="s">
        <v>30</v>
      </c>
      <c r="M24" s="8" t="s">
        <v>30</v>
      </c>
      <c r="N24" s="9"/>
      <c r="O24" s="9"/>
      <c r="P24" s="7">
        <v>3</v>
      </c>
      <c r="Q24" s="7">
        <v>2</v>
      </c>
      <c r="R24" s="7">
        <v>0</v>
      </c>
      <c r="S24" s="7">
        <v>2</v>
      </c>
      <c r="T24" s="7" t="s">
        <v>162</v>
      </c>
    </row>
    <row r="25" spans="1:20" x14ac:dyDescent="0.25">
      <c r="A25" s="7" t="s">
        <v>180</v>
      </c>
      <c r="B25" s="7" t="s">
        <v>151</v>
      </c>
      <c r="C25" s="7" t="s">
        <v>163</v>
      </c>
      <c r="D25" s="7" t="s">
        <v>164</v>
      </c>
      <c r="H25" s="7">
        <v>21</v>
      </c>
      <c r="I25" s="7">
        <v>13</v>
      </c>
      <c r="J25" s="8">
        <f t="shared" si="0"/>
        <v>0.61764705882352944</v>
      </c>
      <c r="K25" s="8" t="s">
        <v>30</v>
      </c>
      <c r="L25" s="8" t="s">
        <v>30</v>
      </c>
      <c r="M25" s="8" t="s">
        <v>30</v>
      </c>
      <c r="N25" s="8" t="s">
        <v>30</v>
      </c>
      <c r="O25" s="9"/>
      <c r="P25" s="7">
        <v>3</v>
      </c>
      <c r="Q25" s="7">
        <v>2</v>
      </c>
      <c r="R25" s="7">
        <v>1</v>
      </c>
      <c r="S25" s="7">
        <v>1</v>
      </c>
      <c r="T25" s="7" t="s">
        <v>163</v>
      </c>
    </row>
    <row r="26" spans="1:20" x14ac:dyDescent="0.25">
      <c r="A26" s="7" t="s">
        <v>180</v>
      </c>
      <c r="B26" s="7" t="s">
        <v>151</v>
      </c>
      <c r="C26" s="7" t="s">
        <v>581</v>
      </c>
      <c r="D26" s="7" t="s">
        <v>154</v>
      </c>
      <c r="H26" s="7">
        <v>20</v>
      </c>
      <c r="I26" s="7">
        <v>14</v>
      </c>
      <c r="J26" s="8">
        <f t="shared" si="0"/>
        <v>0.58823529411764708</v>
      </c>
      <c r="K26" s="8" t="s">
        <v>30</v>
      </c>
      <c r="L26" s="8" t="s">
        <v>30</v>
      </c>
      <c r="M26" s="9"/>
      <c r="N26" s="9"/>
      <c r="O26" s="9"/>
      <c r="P26" s="7">
        <v>2</v>
      </c>
      <c r="Q26" s="7">
        <v>3</v>
      </c>
      <c r="T26" s="7" t="s">
        <v>581</v>
      </c>
    </row>
    <row r="27" spans="1:20" x14ac:dyDescent="0.25">
      <c r="A27" s="7" t="s">
        <v>180</v>
      </c>
      <c r="B27" s="7" t="s">
        <v>151</v>
      </c>
      <c r="C27" s="7" t="s">
        <v>178</v>
      </c>
      <c r="D27" s="7" t="s">
        <v>157</v>
      </c>
      <c r="H27" s="7">
        <v>20</v>
      </c>
      <c r="I27" s="7">
        <v>14</v>
      </c>
      <c r="J27" s="8">
        <f t="shared" si="0"/>
        <v>0.58823529411764708</v>
      </c>
      <c r="K27" s="8" t="s">
        <v>30</v>
      </c>
      <c r="L27" s="8" t="s">
        <v>30</v>
      </c>
      <c r="M27" s="9"/>
      <c r="N27" s="9"/>
      <c r="O27" s="9"/>
      <c r="P27" s="7">
        <v>2</v>
      </c>
      <c r="Q27" s="7">
        <v>3</v>
      </c>
      <c r="T27" s="7" t="s">
        <v>178</v>
      </c>
    </row>
    <row r="28" spans="1:20" x14ac:dyDescent="0.25">
      <c r="A28" s="7" t="s">
        <v>180</v>
      </c>
      <c r="B28" s="7" t="s">
        <v>151</v>
      </c>
      <c r="C28" s="7" t="s">
        <v>155</v>
      </c>
      <c r="D28" s="7" t="s">
        <v>154</v>
      </c>
      <c r="H28" s="7">
        <v>20</v>
      </c>
      <c r="I28" s="7">
        <v>14</v>
      </c>
      <c r="J28" s="8">
        <f t="shared" si="0"/>
        <v>0.58823529411764708</v>
      </c>
      <c r="K28" s="8" t="s">
        <v>30</v>
      </c>
      <c r="L28" s="8" t="s">
        <v>30</v>
      </c>
      <c r="M28" s="9"/>
      <c r="N28" s="9"/>
      <c r="O28" s="9"/>
      <c r="P28" s="7">
        <v>1</v>
      </c>
      <c r="Q28" s="7">
        <v>3</v>
      </c>
      <c r="T28" s="7" t="s">
        <v>155</v>
      </c>
    </row>
    <row r="29" spans="1:20" x14ac:dyDescent="0.25">
      <c r="A29" s="7" t="s">
        <v>180</v>
      </c>
      <c r="B29" s="7" t="s">
        <v>151</v>
      </c>
      <c r="C29" s="7" t="s">
        <v>175</v>
      </c>
      <c r="D29" s="7" t="s">
        <v>164</v>
      </c>
      <c r="H29" s="7">
        <v>19</v>
      </c>
      <c r="I29" s="7">
        <v>15</v>
      </c>
      <c r="J29" s="8">
        <f t="shared" si="0"/>
        <v>0.55882352941176472</v>
      </c>
      <c r="K29" s="8" t="s">
        <v>30</v>
      </c>
      <c r="L29" s="9" t="s">
        <v>30</v>
      </c>
      <c r="M29" s="9"/>
      <c r="N29" s="9"/>
      <c r="O29" s="9"/>
      <c r="P29" s="7">
        <v>0</v>
      </c>
      <c r="Q29" s="7">
        <v>3</v>
      </c>
      <c r="T29" s="7" t="s">
        <v>175</v>
      </c>
    </row>
    <row r="30" spans="1:20" x14ac:dyDescent="0.25">
      <c r="A30" s="7" t="s">
        <v>180</v>
      </c>
      <c r="B30" s="7" t="s">
        <v>151</v>
      </c>
      <c r="C30" s="7" t="s">
        <v>172</v>
      </c>
      <c r="D30" s="7" t="s">
        <v>173</v>
      </c>
      <c r="H30" s="7">
        <v>19</v>
      </c>
      <c r="I30" s="7">
        <v>15</v>
      </c>
      <c r="J30" s="8">
        <f t="shared" si="0"/>
        <v>0.55882352941176472</v>
      </c>
      <c r="K30" s="8" t="s">
        <v>30</v>
      </c>
      <c r="L30" s="9"/>
      <c r="M30" s="9"/>
      <c r="N30" s="9"/>
      <c r="O30" s="9"/>
      <c r="T30" s="7" t="s">
        <v>172</v>
      </c>
    </row>
    <row r="31" spans="1:20" x14ac:dyDescent="0.25">
      <c r="A31" s="7" t="s">
        <v>180</v>
      </c>
      <c r="B31" s="7" t="s">
        <v>151</v>
      </c>
      <c r="C31" s="7" t="s">
        <v>165</v>
      </c>
      <c r="D31" s="7" t="s">
        <v>166</v>
      </c>
      <c r="H31" s="7">
        <v>18</v>
      </c>
      <c r="I31" s="7">
        <v>16</v>
      </c>
      <c r="J31" s="8">
        <f t="shared" si="0"/>
        <v>0.52941176470588236</v>
      </c>
      <c r="K31" s="8" t="s">
        <v>30</v>
      </c>
      <c r="L31" s="9"/>
      <c r="M31" s="9"/>
      <c r="N31" s="9"/>
      <c r="O31" s="9"/>
      <c r="T31" s="7" t="s">
        <v>165</v>
      </c>
    </row>
    <row r="32" spans="1:20" x14ac:dyDescent="0.25">
      <c r="A32" s="7" t="s">
        <v>180</v>
      </c>
      <c r="B32" s="7" t="s">
        <v>151</v>
      </c>
      <c r="C32" s="7" t="s">
        <v>170</v>
      </c>
      <c r="D32" s="7" t="s">
        <v>171</v>
      </c>
      <c r="H32" s="7">
        <v>17</v>
      </c>
      <c r="I32" s="7">
        <v>17</v>
      </c>
      <c r="J32" s="8">
        <f t="shared" si="0"/>
        <v>0.5</v>
      </c>
      <c r="K32" s="10"/>
      <c r="L32" s="9"/>
      <c r="M32" s="9"/>
      <c r="N32" s="9"/>
      <c r="O32" s="9"/>
      <c r="T32" s="7" t="s">
        <v>170</v>
      </c>
    </row>
    <row r="33" spans="1:20" x14ac:dyDescent="0.25">
      <c r="A33" s="7" t="s">
        <v>180</v>
      </c>
      <c r="B33" s="7" t="s">
        <v>151</v>
      </c>
      <c r="C33" s="7" t="s">
        <v>174</v>
      </c>
      <c r="D33" s="7" t="s">
        <v>166</v>
      </c>
      <c r="H33" s="7">
        <v>16</v>
      </c>
      <c r="I33" s="7">
        <v>18</v>
      </c>
      <c r="J33" s="8">
        <f t="shared" si="0"/>
        <v>0.47058823529411764</v>
      </c>
      <c r="K33" s="10"/>
      <c r="L33" s="9"/>
      <c r="M33" s="9"/>
      <c r="N33" s="9"/>
      <c r="O33" s="9"/>
      <c r="T33" s="7" t="s">
        <v>174</v>
      </c>
    </row>
    <row r="34" spans="1:20" x14ac:dyDescent="0.25">
      <c r="A34" s="7" t="s">
        <v>180</v>
      </c>
      <c r="B34" s="7" t="s">
        <v>151</v>
      </c>
      <c r="C34" s="7" t="s">
        <v>158</v>
      </c>
      <c r="D34" s="7" t="s">
        <v>159</v>
      </c>
      <c r="H34" s="7">
        <v>15</v>
      </c>
      <c r="I34" s="7">
        <v>19</v>
      </c>
      <c r="J34" s="8">
        <f t="shared" si="0"/>
        <v>0.44117647058823528</v>
      </c>
      <c r="K34" s="10"/>
      <c r="L34" s="9"/>
      <c r="M34" s="9"/>
      <c r="N34" s="9"/>
      <c r="O34" s="9"/>
      <c r="T34" s="7" t="s">
        <v>158</v>
      </c>
    </row>
    <row r="35" spans="1:20" x14ac:dyDescent="0.25">
      <c r="A35" s="7" t="s">
        <v>180</v>
      </c>
      <c r="B35" s="7" t="s">
        <v>151</v>
      </c>
      <c r="C35" s="7" t="s">
        <v>177</v>
      </c>
      <c r="D35" s="7" t="s">
        <v>154</v>
      </c>
      <c r="H35" s="7">
        <v>14</v>
      </c>
      <c r="I35" s="7">
        <v>20</v>
      </c>
      <c r="J35" s="8">
        <f t="shared" si="0"/>
        <v>0.41176470588235292</v>
      </c>
      <c r="K35" s="8"/>
      <c r="L35" s="8"/>
      <c r="M35" s="9"/>
      <c r="N35" s="9"/>
      <c r="O35" s="9"/>
      <c r="T35" s="7" t="s">
        <v>177</v>
      </c>
    </row>
    <row r="36" spans="1:20" x14ac:dyDescent="0.25">
      <c r="A36" s="7" t="s">
        <v>180</v>
      </c>
      <c r="B36" s="7" t="s">
        <v>151</v>
      </c>
      <c r="C36" s="7" t="s">
        <v>179</v>
      </c>
      <c r="D36" s="7" t="s">
        <v>164</v>
      </c>
      <c r="H36" s="7">
        <v>13</v>
      </c>
      <c r="I36" s="7">
        <v>21</v>
      </c>
      <c r="J36" s="8">
        <f t="shared" si="0"/>
        <v>0.38235294117647056</v>
      </c>
      <c r="K36" s="10"/>
      <c r="L36" s="9"/>
      <c r="M36" s="9"/>
      <c r="N36" s="9"/>
      <c r="O36" s="9"/>
      <c r="T36" s="7" t="s">
        <v>179</v>
      </c>
    </row>
    <row r="37" spans="1:20" x14ac:dyDescent="0.25">
      <c r="A37" s="7" t="s">
        <v>180</v>
      </c>
      <c r="B37" s="7" t="s">
        <v>151</v>
      </c>
      <c r="C37" s="7" t="s">
        <v>169</v>
      </c>
      <c r="D37" s="7" t="s">
        <v>161</v>
      </c>
      <c r="H37" s="7">
        <v>11</v>
      </c>
      <c r="I37" s="7">
        <v>23</v>
      </c>
      <c r="J37" s="8">
        <f t="shared" si="0"/>
        <v>0.3235294117647059</v>
      </c>
      <c r="K37" s="8"/>
      <c r="L37" s="8"/>
      <c r="M37" s="9"/>
      <c r="N37" s="9"/>
      <c r="O37" s="9"/>
      <c r="T37" s="7" t="s">
        <v>169</v>
      </c>
    </row>
    <row r="38" spans="1:20" x14ac:dyDescent="0.25">
      <c r="A38" s="7" t="s">
        <v>180</v>
      </c>
      <c r="B38" s="7" t="s">
        <v>151</v>
      </c>
      <c r="C38" s="7" t="s">
        <v>176</v>
      </c>
      <c r="D38" s="7" t="s">
        <v>171</v>
      </c>
      <c r="H38" s="7">
        <v>9</v>
      </c>
      <c r="I38" s="7">
        <v>25</v>
      </c>
      <c r="J38" s="8">
        <f t="shared" si="0"/>
        <v>0.26470588235294118</v>
      </c>
      <c r="K38" s="8"/>
      <c r="L38" s="9"/>
      <c r="M38" s="9"/>
      <c r="N38" s="9"/>
      <c r="O38" s="9"/>
      <c r="T38" s="7" t="s">
        <v>176</v>
      </c>
    </row>
    <row r="39" spans="1:20" x14ac:dyDescent="0.25">
      <c r="A39" s="7" t="s">
        <v>180</v>
      </c>
      <c r="B39" s="7" t="s">
        <v>151</v>
      </c>
      <c r="C39" s="7" t="s">
        <v>181</v>
      </c>
      <c r="D39" s="7" t="s">
        <v>173</v>
      </c>
      <c r="H39" s="7">
        <v>5</v>
      </c>
      <c r="I39" s="7">
        <v>29</v>
      </c>
      <c r="J39" s="8">
        <f t="shared" si="0"/>
        <v>0.14705882352941177</v>
      </c>
      <c r="K39" s="10"/>
      <c r="L39" s="9"/>
      <c r="M39" s="9"/>
      <c r="N39" s="9"/>
      <c r="O39" s="9"/>
      <c r="T39" s="7" t="s">
        <v>181</v>
      </c>
    </row>
    <row r="40" spans="1:20" x14ac:dyDescent="0.25">
      <c r="A40" s="7" t="s">
        <v>182</v>
      </c>
      <c r="B40" s="7" t="s">
        <v>151</v>
      </c>
      <c r="C40" s="7" t="s">
        <v>155</v>
      </c>
      <c r="D40" s="7" t="s">
        <v>154</v>
      </c>
      <c r="H40" s="7">
        <v>27</v>
      </c>
      <c r="I40" s="7">
        <v>7</v>
      </c>
      <c r="J40" s="8">
        <f t="shared" si="0"/>
        <v>0.79411764705882348</v>
      </c>
      <c r="K40" s="8" t="s">
        <v>30</v>
      </c>
      <c r="L40" s="8" t="s">
        <v>30</v>
      </c>
      <c r="M40" s="8" t="s">
        <v>30</v>
      </c>
      <c r="N40" s="8" t="s">
        <v>30</v>
      </c>
      <c r="O40" s="9"/>
      <c r="P40" s="7">
        <v>3</v>
      </c>
      <c r="Q40" s="7">
        <v>0</v>
      </c>
      <c r="R40" s="7">
        <v>1</v>
      </c>
      <c r="S40" s="7">
        <v>1</v>
      </c>
      <c r="T40" s="7" t="s">
        <v>155</v>
      </c>
    </row>
    <row r="41" spans="1:20" x14ac:dyDescent="0.25">
      <c r="A41" s="7" t="s">
        <v>182</v>
      </c>
      <c r="B41" s="7" t="s">
        <v>151</v>
      </c>
      <c r="C41" s="7" t="s">
        <v>162</v>
      </c>
      <c r="D41" s="7" t="s">
        <v>152</v>
      </c>
      <c r="H41" s="7">
        <v>23</v>
      </c>
      <c r="I41" s="7">
        <v>11</v>
      </c>
      <c r="J41" s="8">
        <f t="shared" si="0"/>
        <v>0.67647058823529416</v>
      </c>
      <c r="K41" s="8" t="s">
        <v>30</v>
      </c>
      <c r="L41" s="8" t="s">
        <v>30</v>
      </c>
      <c r="M41" s="8" t="s">
        <v>30</v>
      </c>
      <c r="N41" s="8" t="s">
        <v>30</v>
      </c>
      <c r="O41" s="9" t="s">
        <v>30</v>
      </c>
      <c r="P41" s="7">
        <v>3</v>
      </c>
      <c r="Q41" s="7">
        <v>2</v>
      </c>
      <c r="R41" s="7">
        <v>2</v>
      </c>
      <c r="S41" s="7">
        <v>0</v>
      </c>
      <c r="T41" s="7" t="s">
        <v>162</v>
      </c>
    </row>
    <row r="42" spans="1:20" x14ac:dyDescent="0.25">
      <c r="A42" s="7" t="s">
        <v>182</v>
      </c>
      <c r="B42" s="7" t="s">
        <v>151</v>
      </c>
      <c r="C42" s="7" t="s">
        <v>149</v>
      </c>
      <c r="D42" s="7" t="s">
        <v>152</v>
      </c>
      <c r="H42" s="7">
        <v>22</v>
      </c>
      <c r="I42" s="7">
        <v>12</v>
      </c>
      <c r="J42" s="8">
        <f t="shared" si="0"/>
        <v>0.6470588235294118</v>
      </c>
      <c r="K42" s="8" t="s">
        <v>30</v>
      </c>
      <c r="L42" s="8" t="s">
        <v>30</v>
      </c>
      <c r="M42" s="8" t="s">
        <v>30</v>
      </c>
      <c r="N42" s="9"/>
      <c r="O42" s="9"/>
      <c r="P42" s="7">
        <v>3</v>
      </c>
      <c r="Q42" s="7">
        <v>2</v>
      </c>
      <c r="R42" s="7">
        <v>1</v>
      </c>
      <c r="S42" s="7">
        <v>1</v>
      </c>
      <c r="T42" s="7" t="s">
        <v>149</v>
      </c>
    </row>
    <row r="43" spans="1:20" x14ac:dyDescent="0.25">
      <c r="A43" s="7" t="s">
        <v>182</v>
      </c>
      <c r="B43" s="7" t="s">
        <v>151</v>
      </c>
      <c r="C43" s="7" t="s">
        <v>156</v>
      </c>
      <c r="D43" s="7" t="s">
        <v>157</v>
      </c>
      <c r="H43" s="7">
        <v>20</v>
      </c>
      <c r="I43" s="7">
        <v>14</v>
      </c>
      <c r="J43" s="8">
        <f t="shared" si="0"/>
        <v>0.58823529411764708</v>
      </c>
      <c r="K43" s="8" t="s">
        <v>30</v>
      </c>
      <c r="L43" s="8" t="s">
        <v>30</v>
      </c>
      <c r="M43" s="8" t="s">
        <v>30</v>
      </c>
      <c r="N43" s="9"/>
      <c r="O43" s="9"/>
      <c r="P43" s="7">
        <v>3</v>
      </c>
      <c r="Q43" s="7">
        <v>2</v>
      </c>
      <c r="R43" s="7">
        <v>0</v>
      </c>
      <c r="S43" s="7">
        <v>2</v>
      </c>
      <c r="T43" s="7" t="s">
        <v>156</v>
      </c>
    </row>
    <row r="44" spans="1:20" x14ac:dyDescent="0.25">
      <c r="A44" s="7" t="s">
        <v>182</v>
      </c>
      <c r="B44" s="7" t="s">
        <v>151</v>
      </c>
      <c r="C44" s="7" t="s">
        <v>163</v>
      </c>
      <c r="D44" s="7" t="s">
        <v>164</v>
      </c>
      <c r="H44" s="7">
        <v>23</v>
      </c>
      <c r="I44" s="7">
        <v>11</v>
      </c>
      <c r="J44" s="8">
        <f t="shared" si="0"/>
        <v>0.67647058823529416</v>
      </c>
      <c r="K44" s="8" t="s">
        <v>30</v>
      </c>
      <c r="L44" s="8" t="s">
        <v>30</v>
      </c>
      <c r="M44" s="9"/>
      <c r="N44" s="9"/>
      <c r="O44" s="9"/>
      <c r="P44" s="7">
        <v>2</v>
      </c>
      <c r="Q44" s="7">
        <v>3</v>
      </c>
      <c r="T44" s="7" t="s">
        <v>163</v>
      </c>
    </row>
    <row r="45" spans="1:20" x14ac:dyDescent="0.25">
      <c r="A45" s="7" t="s">
        <v>182</v>
      </c>
      <c r="B45" s="7" t="s">
        <v>151</v>
      </c>
      <c r="C45" s="7" t="s">
        <v>581</v>
      </c>
      <c r="D45" s="7" t="s">
        <v>154</v>
      </c>
      <c r="H45" s="7">
        <v>22</v>
      </c>
      <c r="I45" s="7">
        <v>12</v>
      </c>
      <c r="J45" s="8">
        <f t="shared" si="0"/>
        <v>0.6470588235294118</v>
      </c>
      <c r="K45" s="8" t="s">
        <v>30</v>
      </c>
      <c r="L45" s="8" t="s">
        <v>30</v>
      </c>
      <c r="M45" s="9"/>
      <c r="N45" s="9"/>
      <c r="O45" s="9"/>
      <c r="P45" s="7">
        <v>2</v>
      </c>
      <c r="Q45" s="7">
        <v>3</v>
      </c>
      <c r="T45" s="7" t="s">
        <v>581</v>
      </c>
    </row>
    <row r="46" spans="1:20" x14ac:dyDescent="0.25">
      <c r="A46" s="7" t="s">
        <v>182</v>
      </c>
      <c r="B46" s="7" t="s">
        <v>151</v>
      </c>
      <c r="C46" s="7" t="s">
        <v>169</v>
      </c>
      <c r="D46" s="7" t="s">
        <v>161</v>
      </c>
      <c r="H46" s="7">
        <v>20</v>
      </c>
      <c r="I46" s="7">
        <v>14</v>
      </c>
      <c r="J46" s="8">
        <f t="shared" si="0"/>
        <v>0.58823529411764708</v>
      </c>
      <c r="K46" s="8" t="s">
        <v>30</v>
      </c>
      <c r="L46" s="8" t="s">
        <v>30</v>
      </c>
      <c r="M46" s="9"/>
      <c r="N46" s="9"/>
      <c r="O46" s="9"/>
      <c r="P46" s="7">
        <v>2</v>
      </c>
      <c r="Q46" s="7">
        <v>3</v>
      </c>
      <c r="T46" s="7" t="s">
        <v>169</v>
      </c>
    </row>
    <row r="47" spans="1:20" x14ac:dyDescent="0.25">
      <c r="A47" s="7" t="s">
        <v>182</v>
      </c>
      <c r="B47" s="7" t="s">
        <v>151</v>
      </c>
      <c r="C47" s="7" t="s">
        <v>177</v>
      </c>
      <c r="D47" s="7" t="s">
        <v>154</v>
      </c>
      <c r="H47" s="7">
        <v>18</v>
      </c>
      <c r="I47" s="7">
        <v>16</v>
      </c>
      <c r="J47" s="8">
        <f t="shared" si="0"/>
        <v>0.52941176470588236</v>
      </c>
      <c r="K47" s="8" t="s">
        <v>30</v>
      </c>
      <c r="L47" s="8" t="s">
        <v>30</v>
      </c>
      <c r="M47" s="9"/>
      <c r="N47" s="9"/>
      <c r="O47" s="9"/>
      <c r="P47" s="7">
        <v>0</v>
      </c>
      <c r="Q47" s="7">
        <v>3</v>
      </c>
      <c r="T47" s="7" t="s">
        <v>177</v>
      </c>
    </row>
    <row r="48" spans="1:20" x14ac:dyDescent="0.25">
      <c r="A48" s="7" t="s">
        <v>182</v>
      </c>
      <c r="B48" s="7" t="s">
        <v>151</v>
      </c>
      <c r="C48" s="7" t="s">
        <v>178</v>
      </c>
      <c r="D48" s="7" t="s">
        <v>157</v>
      </c>
      <c r="H48" s="7">
        <v>17</v>
      </c>
      <c r="I48" s="7">
        <v>17</v>
      </c>
      <c r="J48" s="8">
        <f t="shared" si="0"/>
        <v>0.5</v>
      </c>
      <c r="K48" s="8" t="s">
        <v>30</v>
      </c>
      <c r="L48" s="9"/>
      <c r="M48" s="9"/>
      <c r="N48" s="9"/>
      <c r="O48" s="9"/>
      <c r="T48" s="7" t="s">
        <v>178</v>
      </c>
    </row>
    <row r="49" spans="1:20" x14ac:dyDescent="0.25">
      <c r="A49" s="7" t="s">
        <v>182</v>
      </c>
      <c r="B49" s="7" t="s">
        <v>151</v>
      </c>
      <c r="C49" s="7" t="s">
        <v>176</v>
      </c>
      <c r="D49" s="7" t="s">
        <v>171</v>
      </c>
      <c r="H49" s="7">
        <v>17</v>
      </c>
      <c r="I49" s="7">
        <v>17</v>
      </c>
      <c r="J49" s="8">
        <f t="shared" si="0"/>
        <v>0.5</v>
      </c>
      <c r="K49" s="8" t="s">
        <v>30</v>
      </c>
      <c r="L49" s="9"/>
      <c r="M49" s="9"/>
      <c r="N49" s="9"/>
      <c r="O49" s="9"/>
      <c r="T49" s="7" t="s">
        <v>176</v>
      </c>
    </row>
    <row r="50" spans="1:20" x14ac:dyDescent="0.25">
      <c r="A50" s="7" t="s">
        <v>182</v>
      </c>
      <c r="B50" s="7" t="s">
        <v>151</v>
      </c>
      <c r="C50" s="7" t="s">
        <v>174</v>
      </c>
      <c r="D50" s="7" t="s">
        <v>166</v>
      </c>
      <c r="H50" s="7">
        <v>16</v>
      </c>
      <c r="I50" s="7">
        <v>18</v>
      </c>
      <c r="J50" s="8">
        <f t="shared" si="0"/>
        <v>0.47058823529411764</v>
      </c>
      <c r="K50" s="10"/>
      <c r="L50" s="9"/>
      <c r="M50" s="9"/>
      <c r="N50" s="9"/>
      <c r="O50" s="9"/>
      <c r="T50" s="7" t="s">
        <v>174</v>
      </c>
    </row>
    <row r="51" spans="1:20" x14ac:dyDescent="0.25">
      <c r="A51" s="7" t="s">
        <v>182</v>
      </c>
      <c r="B51" s="7" t="s">
        <v>151</v>
      </c>
      <c r="C51" s="7" t="s">
        <v>170</v>
      </c>
      <c r="D51" s="7" t="s">
        <v>171</v>
      </c>
      <c r="H51" s="7">
        <v>15</v>
      </c>
      <c r="I51" s="7">
        <v>19</v>
      </c>
      <c r="J51" s="8">
        <f t="shared" si="0"/>
        <v>0.44117647058823528</v>
      </c>
      <c r="K51" s="10"/>
      <c r="L51" s="9"/>
      <c r="M51" s="9"/>
      <c r="N51" s="9"/>
      <c r="O51" s="9"/>
      <c r="T51" s="7" t="s">
        <v>170</v>
      </c>
    </row>
    <row r="52" spans="1:20" x14ac:dyDescent="0.25">
      <c r="A52" s="7" t="s">
        <v>182</v>
      </c>
      <c r="B52" s="7" t="s">
        <v>151</v>
      </c>
      <c r="C52" s="7" t="s">
        <v>158</v>
      </c>
      <c r="D52" s="7" t="s">
        <v>159</v>
      </c>
      <c r="H52" s="7">
        <v>14</v>
      </c>
      <c r="I52" s="7">
        <v>20</v>
      </c>
      <c r="J52" s="8">
        <f t="shared" si="0"/>
        <v>0.41176470588235292</v>
      </c>
      <c r="K52" s="10"/>
      <c r="L52" s="9"/>
      <c r="M52" s="9"/>
      <c r="N52" s="9"/>
      <c r="O52" s="9"/>
      <c r="T52" s="7" t="s">
        <v>158</v>
      </c>
    </row>
    <row r="53" spans="1:20" x14ac:dyDescent="0.25">
      <c r="A53" s="7" t="s">
        <v>182</v>
      </c>
      <c r="B53" s="7" t="s">
        <v>151</v>
      </c>
      <c r="C53" s="7" t="s">
        <v>153</v>
      </c>
      <c r="D53" s="7" t="s">
        <v>154</v>
      </c>
      <c r="H53" s="7">
        <v>14</v>
      </c>
      <c r="I53" s="7">
        <v>20</v>
      </c>
      <c r="J53" s="8">
        <f t="shared" si="0"/>
        <v>0.41176470588235292</v>
      </c>
      <c r="K53" s="10"/>
      <c r="L53" s="9"/>
      <c r="M53" s="9"/>
      <c r="N53" s="9"/>
      <c r="O53" s="9"/>
      <c r="T53" s="7" t="s">
        <v>153</v>
      </c>
    </row>
    <row r="54" spans="1:20" x14ac:dyDescent="0.25">
      <c r="A54" s="7" t="s">
        <v>182</v>
      </c>
      <c r="B54" s="7" t="s">
        <v>151</v>
      </c>
      <c r="C54" s="7" t="s">
        <v>172</v>
      </c>
      <c r="D54" s="7" t="s">
        <v>173</v>
      </c>
      <c r="H54" s="7">
        <v>13</v>
      </c>
      <c r="I54" s="7">
        <v>21</v>
      </c>
      <c r="J54" s="8">
        <f t="shared" si="0"/>
        <v>0.38235294117647056</v>
      </c>
      <c r="K54" s="10"/>
      <c r="L54" s="9"/>
      <c r="M54" s="9"/>
      <c r="N54" s="9"/>
      <c r="O54" s="9"/>
      <c r="T54" s="7" t="s">
        <v>172</v>
      </c>
    </row>
    <row r="55" spans="1:20" x14ac:dyDescent="0.25">
      <c r="A55" s="7" t="s">
        <v>182</v>
      </c>
      <c r="B55" s="7" t="s">
        <v>151</v>
      </c>
      <c r="C55" s="7" t="s">
        <v>165</v>
      </c>
      <c r="D55" s="7" t="s">
        <v>166</v>
      </c>
      <c r="H55" s="7">
        <v>11</v>
      </c>
      <c r="I55" s="7">
        <v>23</v>
      </c>
      <c r="J55" s="8">
        <f t="shared" si="0"/>
        <v>0.3235294117647059</v>
      </c>
      <c r="K55" s="10"/>
      <c r="L55" s="9"/>
      <c r="M55" s="9"/>
      <c r="N55" s="9"/>
      <c r="O55" s="9"/>
      <c r="T55" s="7" t="s">
        <v>165</v>
      </c>
    </row>
    <row r="56" spans="1:20" x14ac:dyDescent="0.25">
      <c r="A56" s="7" t="s">
        <v>182</v>
      </c>
      <c r="B56" s="7" t="s">
        <v>151</v>
      </c>
      <c r="C56" s="7" t="s">
        <v>179</v>
      </c>
      <c r="D56" s="7" t="s">
        <v>164</v>
      </c>
      <c r="H56" s="7">
        <v>9</v>
      </c>
      <c r="I56" s="7">
        <v>25</v>
      </c>
      <c r="J56" s="8">
        <f t="shared" si="0"/>
        <v>0.26470588235294118</v>
      </c>
      <c r="K56" s="10"/>
      <c r="L56" s="9"/>
      <c r="M56" s="9"/>
      <c r="N56" s="9"/>
      <c r="O56" s="9"/>
      <c r="T56" s="7" t="s">
        <v>179</v>
      </c>
    </row>
    <row r="57" spans="1:20" x14ac:dyDescent="0.25">
      <c r="A57" s="7" t="s">
        <v>182</v>
      </c>
      <c r="B57" s="7" t="s">
        <v>151</v>
      </c>
      <c r="C57" s="7" t="s">
        <v>181</v>
      </c>
      <c r="D57" s="7" t="s">
        <v>173</v>
      </c>
      <c r="H57" s="7">
        <v>5</v>
      </c>
      <c r="I57" s="7">
        <v>29</v>
      </c>
      <c r="J57" s="8">
        <f t="shared" si="0"/>
        <v>0.14705882352941177</v>
      </c>
      <c r="K57" s="10"/>
      <c r="L57" s="9"/>
      <c r="M57" s="9"/>
      <c r="N57" s="9"/>
      <c r="O57" s="9"/>
      <c r="T57" s="7" t="s">
        <v>181</v>
      </c>
    </row>
    <row r="58" spans="1:20" x14ac:dyDescent="0.25">
      <c r="A58" s="7" t="s">
        <v>183</v>
      </c>
      <c r="B58" s="7" t="s">
        <v>151</v>
      </c>
      <c r="C58" s="7" t="s">
        <v>149</v>
      </c>
      <c r="D58" s="7" t="s">
        <v>152</v>
      </c>
      <c r="H58" s="7">
        <v>24</v>
      </c>
      <c r="I58" s="7">
        <v>10</v>
      </c>
      <c r="J58" s="8">
        <f t="shared" si="0"/>
        <v>0.70588235294117652</v>
      </c>
      <c r="K58" s="8" t="s">
        <v>30</v>
      </c>
      <c r="L58" s="8" t="s">
        <v>30</v>
      </c>
      <c r="M58" s="8" t="s">
        <v>30</v>
      </c>
      <c r="N58" s="8" t="s">
        <v>30</v>
      </c>
      <c r="O58" s="11"/>
      <c r="P58" s="7">
        <v>3</v>
      </c>
      <c r="Q58" s="7">
        <v>2</v>
      </c>
      <c r="R58" s="7">
        <v>1</v>
      </c>
      <c r="S58" s="7">
        <v>1</v>
      </c>
      <c r="T58" s="7" t="s">
        <v>149</v>
      </c>
    </row>
    <row r="59" spans="1:20" x14ac:dyDescent="0.25">
      <c r="A59" s="7" t="s">
        <v>183</v>
      </c>
      <c r="B59" s="7" t="s">
        <v>151</v>
      </c>
      <c r="C59" s="7" t="s">
        <v>155</v>
      </c>
      <c r="D59" s="7" t="s">
        <v>154</v>
      </c>
      <c r="H59" s="7">
        <v>23</v>
      </c>
      <c r="I59" s="7">
        <v>11</v>
      </c>
      <c r="J59" s="8">
        <f t="shared" si="0"/>
        <v>0.67647058823529416</v>
      </c>
      <c r="K59" s="8" t="s">
        <v>30</v>
      </c>
      <c r="L59" s="8" t="s">
        <v>30</v>
      </c>
      <c r="M59" s="8" t="s">
        <v>30</v>
      </c>
      <c r="N59" s="8" t="s">
        <v>30</v>
      </c>
      <c r="O59" s="11" t="s">
        <v>30</v>
      </c>
      <c r="P59" s="7">
        <v>3</v>
      </c>
      <c r="Q59" s="7">
        <v>2</v>
      </c>
      <c r="R59" s="7">
        <v>2</v>
      </c>
      <c r="S59" s="7">
        <v>0</v>
      </c>
      <c r="T59" s="7" t="s">
        <v>155</v>
      </c>
    </row>
    <row r="60" spans="1:20" x14ac:dyDescent="0.25">
      <c r="A60" s="7" t="s">
        <v>183</v>
      </c>
      <c r="B60" s="7" t="s">
        <v>151</v>
      </c>
      <c r="C60" s="7" t="s">
        <v>581</v>
      </c>
      <c r="D60" s="7" t="s">
        <v>154</v>
      </c>
      <c r="H60" s="7">
        <v>23</v>
      </c>
      <c r="I60" s="7">
        <v>11</v>
      </c>
      <c r="J60" s="8">
        <f t="shared" si="0"/>
        <v>0.67647058823529416</v>
      </c>
      <c r="K60" s="8" t="s">
        <v>30</v>
      </c>
      <c r="L60" s="8" t="s">
        <v>30</v>
      </c>
      <c r="M60" s="8" t="s">
        <v>30</v>
      </c>
      <c r="N60" s="8"/>
      <c r="O60" s="11"/>
      <c r="P60" s="7">
        <v>3</v>
      </c>
      <c r="Q60" s="7">
        <v>0</v>
      </c>
      <c r="R60" s="7">
        <v>0</v>
      </c>
      <c r="S60" s="7">
        <v>2</v>
      </c>
      <c r="T60" s="7" t="s">
        <v>581</v>
      </c>
    </row>
    <row r="61" spans="1:20" x14ac:dyDescent="0.25">
      <c r="A61" s="7" t="s">
        <v>183</v>
      </c>
      <c r="B61" s="7" t="s">
        <v>151</v>
      </c>
      <c r="C61" s="7" t="s">
        <v>163</v>
      </c>
      <c r="D61" s="7" t="s">
        <v>164</v>
      </c>
      <c r="H61" s="7">
        <v>21</v>
      </c>
      <c r="I61" s="7">
        <v>13</v>
      </c>
      <c r="J61" s="8">
        <f t="shared" si="0"/>
        <v>0.61764705882352944</v>
      </c>
      <c r="K61" s="8" t="s">
        <v>30</v>
      </c>
      <c r="L61" s="8" t="s">
        <v>30</v>
      </c>
      <c r="M61" s="8" t="s">
        <v>30</v>
      </c>
      <c r="N61" s="8"/>
      <c r="O61" s="11"/>
      <c r="P61" s="7">
        <v>3</v>
      </c>
      <c r="Q61" s="7">
        <v>2</v>
      </c>
      <c r="R61" s="7">
        <v>1</v>
      </c>
      <c r="S61" s="7">
        <v>1</v>
      </c>
      <c r="T61" s="7" t="s">
        <v>163</v>
      </c>
    </row>
    <row r="62" spans="1:20" x14ac:dyDescent="0.25">
      <c r="A62" s="7" t="s">
        <v>183</v>
      </c>
      <c r="B62" s="7" t="s">
        <v>151</v>
      </c>
      <c r="C62" s="7" t="s">
        <v>169</v>
      </c>
      <c r="D62" s="7" t="s">
        <v>161</v>
      </c>
      <c r="H62" s="7">
        <v>20</v>
      </c>
      <c r="I62" s="7">
        <v>14</v>
      </c>
      <c r="J62" s="8">
        <f t="shared" si="0"/>
        <v>0.58823529411764708</v>
      </c>
      <c r="K62" s="8" t="s">
        <v>30</v>
      </c>
      <c r="L62" s="8" t="s">
        <v>30</v>
      </c>
      <c r="M62" s="8"/>
      <c r="N62" s="8"/>
      <c r="O62" s="11"/>
      <c r="P62" s="7">
        <v>2</v>
      </c>
      <c r="Q62" s="7">
        <v>3</v>
      </c>
      <c r="T62" s="7" t="s">
        <v>169</v>
      </c>
    </row>
    <row r="63" spans="1:20" x14ac:dyDescent="0.25">
      <c r="A63" s="7" t="s">
        <v>183</v>
      </c>
      <c r="B63" s="7" t="s">
        <v>151</v>
      </c>
      <c r="C63" s="7" t="s">
        <v>174</v>
      </c>
      <c r="D63" s="7" t="s">
        <v>166</v>
      </c>
      <c r="H63" s="7">
        <v>20</v>
      </c>
      <c r="I63" s="7">
        <v>14</v>
      </c>
      <c r="J63" s="8">
        <f t="shared" si="0"/>
        <v>0.58823529411764708</v>
      </c>
      <c r="K63" s="8" t="s">
        <v>30</v>
      </c>
      <c r="L63" s="8" t="s">
        <v>30</v>
      </c>
      <c r="M63" s="8"/>
      <c r="N63" s="8"/>
      <c r="O63" s="11"/>
      <c r="P63" s="7">
        <v>2</v>
      </c>
      <c r="Q63" s="7">
        <v>3</v>
      </c>
      <c r="T63" s="7" t="s">
        <v>174</v>
      </c>
    </row>
    <row r="64" spans="1:20" x14ac:dyDescent="0.25">
      <c r="A64" s="7" t="s">
        <v>183</v>
      </c>
      <c r="B64" s="7" t="s">
        <v>151</v>
      </c>
      <c r="C64" s="7" t="s">
        <v>156</v>
      </c>
      <c r="D64" s="7" t="s">
        <v>157</v>
      </c>
      <c r="H64" s="7">
        <v>19</v>
      </c>
      <c r="I64" s="7">
        <v>15</v>
      </c>
      <c r="J64" s="8">
        <f t="shared" si="0"/>
        <v>0.55882352941176472</v>
      </c>
      <c r="K64" s="8" t="s">
        <v>30</v>
      </c>
      <c r="L64" s="8" t="s">
        <v>30</v>
      </c>
      <c r="M64" s="8"/>
      <c r="N64" s="8"/>
      <c r="O64" s="11"/>
      <c r="P64" s="7">
        <v>2</v>
      </c>
      <c r="Q64" s="7">
        <v>3</v>
      </c>
      <c r="T64" s="7" t="s">
        <v>156</v>
      </c>
    </row>
    <row r="65" spans="1:20" x14ac:dyDescent="0.25">
      <c r="A65" s="7" t="s">
        <v>183</v>
      </c>
      <c r="B65" s="7" t="s">
        <v>151</v>
      </c>
      <c r="C65" s="7" t="s">
        <v>158</v>
      </c>
      <c r="D65" s="7" t="s">
        <v>159</v>
      </c>
      <c r="H65" s="7">
        <v>19</v>
      </c>
      <c r="I65" s="7">
        <v>15</v>
      </c>
      <c r="J65" s="8">
        <f t="shared" si="0"/>
        <v>0.55882352941176472</v>
      </c>
      <c r="K65" s="8" t="s">
        <v>30</v>
      </c>
      <c r="L65" s="8" t="s">
        <v>30</v>
      </c>
      <c r="M65" s="8"/>
      <c r="N65" s="8"/>
      <c r="O65" s="11"/>
      <c r="P65" s="7">
        <v>0</v>
      </c>
      <c r="Q65" s="7">
        <v>3</v>
      </c>
      <c r="T65" s="7" t="s">
        <v>158</v>
      </c>
    </row>
    <row r="66" spans="1:20" x14ac:dyDescent="0.25">
      <c r="A66" s="7" t="s">
        <v>183</v>
      </c>
      <c r="B66" s="7" t="s">
        <v>151</v>
      </c>
      <c r="C66" s="7" t="s">
        <v>184</v>
      </c>
      <c r="D66" s="7" t="s">
        <v>154</v>
      </c>
      <c r="H66" s="7">
        <v>18</v>
      </c>
      <c r="I66" s="7">
        <v>16</v>
      </c>
      <c r="J66" s="8">
        <f t="shared" ref="J66:J129" si="1">H66/SUM(H66:I66)</f>
        <v>0.52941176470588236</v>
      </c>
      <c r="K66" s="8"/>
      <c r="L66" s="8"/>
      <c r="M66" s="8"/>
      <c r="N66" s="8"/>
      <c r="O66" s="11"/>
      <c r="T66" s="7" t="s">
        <v>177</v>
      </c>
    </row>
    <row r="67" spans="1:20" x14ac:dyDescent="0.25">
      <c r="A67" s="7" t="s">
        <v>183</v>
      </c>
      <c r="B67" s="7" t="s">
        <v>151</v>
      </c>
      <c r="C67" s="7" t="s">
        <v>178</v>
      </c>
      <c r="D67" s="7" t="s">
        <v>157</v>
      </c>
      <c r="H67" s="7">
        <v>17</v>
      </c>
      <c r="I67" s="7">
        <v>17</v>
      </c>
      <c r="J67" s="8">
        <f t="shared" si="1"/>
        <v>0.5</v>
      </c>
      <c r="K67" s="8"/>
      <c r="L67" s="8"/>
      <c r="M67" s="8"/>
      <c r="N67" s="8"/>
      <c r="O67" s="11"/>
      <c r="T67" s="7" t="s">
        <v>178</v>
      </c>
    </row>
    <row r="68" spans="1:20" x14ac:dyDescent="0.25">
      <c r="A68" s="7" t="s">
        <v>183</v>
      </c>
      <c r="B68" s="7" t="s">
        <v>151</v>
      </c>
      <c r="C68" s="7" t="s">
        <v>165</v>
      </c>
      <c r="D68" s="7" t="s">
        <v>166</v>
      </c>
      <c r="H68" s="7">
        <v>17</v>
      </c>
      <c r="I68" s="7">
        <v>17</v>
      </c>
      <c r="J68" s="8">
        <f t="shared" si="1"/>
        <v>0.5</v>
      </c>
      <c r="K68" s="8"/>
      <c r="L68" s="8"/>
      <c r="M68" s="8"/>
      <c r="N68" s="8"/>
      <c r="O68" s="11"/>
      <c r="T68" s="7" t="s">
        <v>165</v>
      </c>
    </row>
    <row r="69" spans="1:20" x14ac:dyDescent="0.25">
      <c r="A69" s="7" t="s">
        <v>183</v>
      </c>
      <c r="B69" s="7" t="s">
        <v>151</v>
      </c>
      <c r="C69" s="7" t="s">
        <v>170</v>
      </c>
      <c r="D69" s="7" t="s">
        <v>171</v>
      </c>
      <c r="H69" s="7">
        <v>15</v>
      </c>
      <c r="I69" s="7">
        <v>19</v>
      </c>
      <c r="J69" s="8">
        <f t="shared" si="1"/>
        <v>0.44117647058823528</v>
      </c>
      <c r="K69" s="8"/>
      <c r="L69" s="8"/>
      <c r="M69" s="8"/>
      <c r="N69" s="8"/>
      <c r="O69" s="11"/>
      <c r="T69" s="7" t="s">
        <v>170</v>
      </c>
    </row>
    <row r="70" spans="1:20" x14ac:dyDescent="0.25">
      <c r="A70" s="7" t="s">
        <v>183</v>
      </c>
      <c r="B70" s="7" t="s">
        <v>151</v>
      </c>
      <c r="C70" s="7" t="s">
        <v>153</v>
      </c>
      <c r="D70" s="7" t="s">
        <v>154</v>
      </c>
      <c r="H70" s="7">
        <v>15</v>
      </c>
      <c r="I70" s="7">
        <v>19</v>
      </c>
      <c r="J70" s="8">
        <f t="shared" si="1"/>
        <v>0.44117647058823528</v>
      </c>
      <c r="K70" s="8"/>
      <c r="L70" s="8"/>
      <c r="M70" s="8"/>
      <c r="N70" s="8"/>
      <c r="O70" s="11"/>
      <c r="T70" s="7" t="s">
        <v>153</v>
      </c>
    </row>
    <row r="71" spans="1:20" x14ac:dyDescent="0.25">
      <c r="A71" s="7" t="s">
        <v>183</v>
      </c>
      <c r="B71" s="7" t="s">
        <v>151</v>
      </c>
      <c r="C71" s="7" t="s">
        <v>176</v>
      </c>
      <c r="D71" s="7" t="s">
        <v>171</v>
      </c>
      <c r="H71" s="7">
        <v>14</v>
      </c>
      <c r="I71" s="7">
        <v>20</v>
      </c>
      <c r="J71" s="8">
        <f t="shared" si="1"/>
        <v>0.41176470588235292</v>
      </c>
      <c r="K71" s="8"/>
      <c r="L71" s="8"/>
      <c r="M71" s="8"/>
      <c r="N71" s="8"/>
      <c r="O71" s="11"/>
      <c r="T71" s="7" t="s">
        <v>176</v>
      </c>
    </row>
    <row r="72" spans="1:20" x14ac:dyDescent="0.25">
      <c r="A72" s="7" t="s">
        <v>183</v>
      </c>
      <c r="B72" s="7" t="s">
        <v>151</v>
      </c>
      <c r="C72" s="7" t="s">
        <v>172</v>
      </c>
      <c r="D72" s="7" t="s">
        <v>173</v>
      </c>
      <c r="H72" s="7">
        <v>11</v>
      </c>
      <c r="I72" s="7">
        <v>23</v>
      </c>
      <c r="J72" s="8">
        <f t="shared" si="1"/>
        <v>0.3235294117647059</v>
      </c>
      <c r="K72" s="8"/>
      <c r="L72" s="8"/>
      <c r="M72" s="8"/>
      <c r="N72" s="8"/>
      <c r="O72" s="11"/>
      <c r="T72" s="7" t="s">
        <v>172</v>
      </c>
    </row>
    <row r="73" spans="1:20" x14ac:dyDescent="0.25">
      <c r="A73" s="7" t="s">
        <v>183</v>
      </c>
      <c r="B73" s="7" t="s">
        <v>151</v>
      </c>
      <c r="C73" s="7" t="s">
        <v>181</v>
      </c>
      <c r="D73" s="7" t="s">
        <v>173</v>
      </c>
      <c r="H73" s="7">
        <v>11</v>
      </c>
      <c r="I73" s="7">
        <v>23</v>
      </c>
      <c r="J73" s="8">
        <f t="shared" si="1"/>
        <v>0.3235294117647059</v>
      </c>
      <c r="K73" s="8"/>
      <c r="L73" s="8"/>
      <c r="M73" s="8"/>
      <c r="N73" s="8"/>
      <c r="O73" s="11"/>
      <c r="T73" s="7" t="s">
        <v>181</v>
      </c>
    </row>
    <row r="74" spans="1:20" x14ac:dyDescent="0.25">
      <c r="A74" s="7" t="s">
        <v>183</v>
      </c>
      <c r="B74" s="7" t="s">
        <v>151</v>
      </c>
      <c r="C74" s="7" t="s">
        <v>162</v>
      </c>
      <c r="D74" s="7" t="s">
        <v>152</v>
      </c>
      <c r="H74" s="7">
        <v>9</v>
      </c>
      <c r="I74" s="7">
        <v>23</v>
      </c>
      <c r="J74" s="8">
        <f t="shared" si="1"/>
        <v>0.28125</v>
      </c>
      <c r="K74" s="8"/>
      <c r="L74" s="8"/>
      <c r="M74" s="8"/>
      <c r="N74" s="8"/>
      <c r="O74" s="11"/>
      <c r="T74" s="7" t="s">
        <v>162</v>
      </c>
    </row>
    <row r="75" spans="1:20" x14ac:dyDescent="0.25">
      <c r="A75" s="7" t="s">
        <v>183</v>
      </c>
      <c r="B75" s="7" t="s">
        <v>151</v>
      </c>
      <c r="C75" s="7" t="s">
        <v>179</v>
      </c>
      <c r="D75" s="7" t="s">
        <v>164</v>
      </c>
      <c r="H75" s="7">
        <v>8</v>
      </c>
      <c r="I75" s="7">
        <v>26</v>
      </c>
      <c r="J75" s="8">
        <f t="shared" si="1"/>
        <v>0.23529411764705882</v>
      </c>
      <c r="K75" s="8"/>
      <c r="L75" s="8"/>
      <c r="M75" s="8"/>
      <c r="N75" s="8"/>
      <c r="O75" s="11"/>
      <c r="T75" s="7" t="s">
        <v>179</v>
      </c>
    </row>
    <row r="76" spans="1:20" x14ac:dyDescent="0.25">
      <c r="A76" s="7" t="s">
        <v>185</v>
      </c>
      <c r="B76" s="7" t="s">
        <v>151</v>
      </c>
      <c r="C76" s="7" t="s">
        <v>581</v>
      </c>
      <c r="D76" s="7" t="s">
        <v>154</v>
      </c>
      <c r="H76" s="7">
        <v>24</v>
      </c>
      <c r="I76" s="7">
        <v>8</v>
      </c>
      <c r="J76" s="8">
        <f t="shared" si="1"/>
        <v>0.75</v>
      </c>
      <c r="K76" s="8" t="s">
        <v>30</v>
      </c>
      <c r="L76" s="8" t="s">
        <v>30</v>
      </c>
      <c r="M76" s="8" t="s">
        <v>30</v>
      </c>
      <c r="N76" s="8"/>
      <c r="O76" s="11"/>
      <c r="P76" s="7">
        <v>3</v>
      </c>
      <c r="Q76" s="7">
        <v>2</v>
      </c>
      <c r="R76" s="7">
        <v>1</v>
      </c>
      <c r="S76" s="7">
        <v>1</v>
      </c>
      <c r="T76" s="7" t="s">
        <v>581</v>
      </c>
    </row>
    <row r="77" spans="1:20" x14ac:dyDescent="0.25">
      <c r="A77" s="7" t="s">
        <v>185</v>
      </c>
      <c r="B77" s="7" t="s">
        <v>151</v>
      </c>
      <c r="C77" s="7" t="s">
        <v>155</v>
      </c>
      <c r="D77" s="7" t="s">
        <v>154</v>
      </c>
      <c r="H77" s="7">
        <v>22</v>
      </c>
      <c r="I77" s="7">
        <v>11</v>
      </c>
      <c r="J77" s="8">
        <f t="shared" si="1"/>
        <v>0.66666666666666663</v>
      </c>
      <c r="K77" s="8" t="s">
        <v>30</v>
      </c>
      <c r="L77" s="8" t="s">
        <v>30</v>
      </c>
      <c r="M77" s="8" t="s">
        <v>30</v>
      </c>
      <c r="N77" s="8" t="s">
        <v>30</v>
      </c>
      <c r="O77" s="11"/>
      <c r="P77" s="7">
        <v>3</v>
      </c>
      <c r="Q77" s="7">
        <v>0</v>
      </c>
      <c r="R77" s="7">
        <v>1</v>
      </c>
      <c r="S77" s="7">
        <v>1</v>
      </c>
      <c r="T77" s="7" t="s">
        <v>155</v>
      </c>
    </row>
    <row r="78" spans="1:20" x14ac:dyDescent="0.25">
      <c r="A78" s="7" t="s">
        <v>185</v>
      </c>
      <c r="B78" s="7" t="s">
        <v>151</v>
      </c>
      <c r="C78" s="7" t="s">
        <v>149</v>
      </c>
      <c r="D78" s="7" t="s">
        <v>152</v>
      </c>
      <c r="H78" s="7">
        <v>20</v>
      </c>
      <c r="I78" s="7">
        <v>11</v>
      </c>
      <c r="J78" s="8">
        <f t="shared" si="1"/>
        <v>0.64516129032258063</v>
      </c>
      <c r="K78" s="8" t="s">
        <v>30</v>
      </c>
      <c r="L78" s="8" t="s">
        <v>30</v>
      </c>
      <c r="M78" s="8" t="s">
        <v>30</v>
      </c>
      <c r="N78" s="8"/>
      <c r="O78" s="11"/>
      <c r="P78" s="7">
        <v>3</v>
      </c>
      <c r="Q78" s="7">
        <v>2</v>
      </c>
      <c r="R78" s="7">
        <v>0</v>
      </c>
      <c r="S78" s="7">
        <v>2</v>
      </c>
      <c r="T78" s="7" t="s">
        <v>149</v>
      </c>
    </row>
    <row r="79" spans="1:20" x14ac:dyDescent="0.25">
      <c r="A79" s="7" t="s">
        <v>185</v>
      </c>
      <c r="B79" s="7" t="s">
        <v>151</v>
      </c>
      <c r="C79" s="7" t="s">
        <v>178</v>
      </c>
      <c r="D79" s="7" t="s">
        <v>157</v>
      </c>
      <c r="H79" s="7">
        <v>18</v>
      </c>
      <c r="I79" s="7">
        <v>16</v>
      </c>
      <c r="J79" s="8">
        <f t="shared" si="1"/>
        <v>0.52941176470588236</v>
      </c>
      <c r="K79" s="8" t="s">
        <v>30</v>
      </c>
      <c r="L79" s="8" t="s">
        <v>30</v>
      </c>
      <c r="M79" s="8" t="s">
        <v>30</v>
      </c>
      <c r="N79" s="8" t="s">
        <v>30</v>
      </c>
      <c r="O79" s="11" t="s">
        <v>30</v>
      </c>
      <c r="P79" s="7">
        <v>3</v>
      </c>
      <c r="Q79" s="7">
        <v>1</v>
      </c>
      <c r="R79" s="7">
        <v>2</v>
      </c>
      <c r="S79" s="7">
        <v>0</v>
      </c>
      <c r="T79" s="7" t="s">
        <v>178</v>
      </c>
    </row>
    <row r="80" spans="1:20" x14ac:dyDescent="0.25">
      <c r="A80" s="7" t="s">
        <v>185</v>
      </c>
      <c r="B80" s="7" t="s">
        <v>151</v>
      </c>
      <c r="C80" s="7" t="s">
        <v>170</v>
      </c>
      <c r="D80" s="7" t="s">
        <v>171</v>
      </c>
      <c r="H80" s="7">
        <v>21</v>
      </c>
      <c r="I80" s="7">
        <v>11</v>
      </c>
      <c r="J80" s="8">
        <f t="shared" si="1"/>
        <v>0.65625</v>
      </c>
      <c r="K80" s="8" t="s">
        <v>30</v>
      </c>
      <c r="L80" s="8" t="s">
        <v>30</v>
      </c>
      <c r="M80" s="8"/>
      <c r="N80" s="8"/>
      <c r="O80" s="11"/>
      <c r="P80" s="7">
        <v>1</v>
      </c>
      <c r="Q80" s="7">
        <v>3</v>
      </c>
      <c r="T80" s="7" t="s">
        <v>170</v>
      </c>
    </row>
    <row r="81" spans="1:20" x14ac:dyDescent="0.25">
      <c r="A81" s="7" t="s">
        <v>185</v>
      </c>
      <c r="B81" s="7" t="s">
        <v>151</v>
      </c>
      <c r="C81" s="7" t="s">
        <v>163</v>
      </c>
      <c r="D81" s="7" t="s">
        <v>164</v>
      </c>
      <c r="H81" s="7">
        <v>19</v>
      </c>
      <c r="I81" s="7">
        <v>14</v>
      </c>
      <c r="J81" s="8">
        <f t="shared" si="1"/>
        <v>0.5757575757575758</v>
      </c>
      <c r="K81" s="8" t="s">
        <v>30</v>
      </c>
      <c r="L81" s="8" t="s">
        <v>30</v>
      </c>
      <c r="M81" s="8"/>
      <c r="N81" s="8"/>
      <c r="O81" s="11"/>
      <c r="P81" s="7">
        <v>2</v>
      </c>
      <c r="Q81" s="7">
        <v>3</v>
      </c>
      <c r="T81" s="7" t="s">
        <v>163</v>
      </c>
    </row>
    <row r="82" spans="1:20" x14ac:dyDescent="0.25">
      <c r="A82" s="7" t="s">
        <v>185</v>
      </c>
      <c r="B82" s="7" t="s">
        <v>151</v>
      </c>
      <c r="C82" s="7" t="s">
        <v>169</v>
      </c>
      <c r="D82" s="7" t="s">
        <v>161</v>
      </c>
      <c r="H82" s="7">
        <v>18</v>
      </c>
      <c r="I82" s="7">
        <v>14</v>
      </c>
      <c r="J82" s="8">
        <f t="shared" si="1"/>
        <v>0.5625</v>
      </c>
      <c r="K82" s="8" t="s">
        <v>30</v>
      </c>
      <c r="L82" s="8" t="s">
        <v>30</v>
      </c>
      <c r="M82" s="8"/>
      <c r="N82" s="8"/>
      <c r="O82" s="11"/>
      <c r="P82" s="7">
        <v>0</v>
      </c>
      <c r="Q82" s="7">
        <v>3</v>
      </c>
      <c r="T82" s="7" t="s">
        <v>169</v>
      </c>
    </row>
    <row r="83" spans="1:20" x14ac:dyDescent="0.25">
      <c r="A83" s="7" t="s">
        <v>185</v>
      </c>
      <c r="B83" s="7" t="s">
        <v>151</v>
      </c>
      <c r="C83" s="7" t="s">
        <v>172</v>
      </c>
      <c r="D83" s="7" t="s">
        <v>173</v>
      </c>
      <c r="H83" s="7">
        <v>14</v>
      </c>
      <c r="I83" s="7">
        <v>17</v>
      </c>
      <c r="J83" s="8">
        <f t="shared" si="1"/>
        <v>0.45161290322580644</v>
      </c>
      <c r="K83" s="8" t="s">
        <v>30</v>
      </c>
      <c r="L83" s="8" t="s">
        <v>30</v>
      </c>
      <c r="M83" s="8"/>
      <c r="N83" s="8"/>
      <c r="O83" s="11"/>
      <c r="P83" s="7">
        <v>2</v>
      </c>
      <c r="Q83" s="7">
        <v>3</v>
      </c>
      <c r="T83" s="7" t="s">
        <v>172</v>
      </c>
    </row>
    <row r="84" spans="1:20" x14ac:dyDescent="0.25">
      <c r="A84" s="7" t="s">
        <v>185</v>
      </c>
      <c r="B84" s="7" t="s">
        <v>151</v>
      </c>
      <c r="C84" s="7" t="s">
        <v>186</v>
      </c>
      <c r="D84" s="7" t="s">
        <v>187</v>
      </c>
      <c r="H84" s="7">
        <v>14</v>
      </c>
      <c r="I84" s="7">
        <v>9</v>
      </c>
      <c r="J84" s="8">
        <f t="shared" si="1"/>
        <v>0.60869565217391308</v>
      </c>
      <c r="K84" s="8"/>
      <c r="L84" s="8"/>
      <c r="M84" s="8"/>
      <c r="N84" s="8"/>
      <c r="O84" s="11"/>
      <c r="T84" s="7" t="s">
        <v>186</v>
      </c>
    </row>
    <row r="85" spans="1:20" x14ac:dyDescent="0.25">
      <c r="A85" s="7" t="s">
        <v>185</v>
      </c>
      <c r="B85" s="7" t="s">
        <v>151</v>
      </c>
      <c r="C85" s="7" t="s">
        <v>188</v>
      </c>
      <c r="D85" s="7" t="s">
        <v>187</v>
      </c>
      <c r="H85" s="7">
        <v>14</v>
      </c>
      <c r="I85" s="7">
        <v>10</v>
      </c>
      <c r="J85" s="8">
        <f t="shared" si="1"/>
        <v>0.58333333333333337</v>
      </c>
      <c r="K85" s="8"/>
      <c r="L85" s="8"/>
      <c r="M85" s="8"/>
      <c r="N85" s="8"/>
      <c r="O85" s="11"/>
      <c r="T85" s="7" t="s">
        <v>188</v>
      </c>
    </row>
    <row r="86" spans="1:20" x14ac:dyDescent="0.25">
      <c r="A86" s="7" t="s">
        <v>185</v>
      </c>
      <c r="B86" s="7" t="s">
        <v>151</v>
      </c>
      <c r="C86" s="7" t="s">
        <v>189</v>
      </c>
      <c r="D86" s="7" t="s">
        <v>187</v>
      </c>
      <c r="H86" s="7">
        <v>13</v>
      </c>
      <c r="I86" s="7">
        <v>12</v>
      </c>
      <c r="J86" s="8">
        <f t="shared" si="1"/>
        <v>0.52</v>
      </c>
      <c r="K86" s="8"/>
      <c r="L86" s="8"/>
      <c r="M86" s="8"/>
      <c r="N86" s="8"/>
      <c r="O86" s="11"/>
      <c r="T86" s="7" t="s">
        <v>189</v>
      </c>
    </row>
    <row r="87" spans="1:20" x14ac:dyDescent="0.25">
      <c r="A87" s="7" t="s">
        <v>185</v>
      </c>
      <c r="B87" s="7" t="s">
        <v>151</v>
      </c>
      <c r="C87" s="7" t="s">
        <v>165</v>
      </c>
      <c r="D87" s="7" t="s">
        <v>166</v>
      </c>
      <c r="H87" s="7">
        <v>14</v>
      </c>
      <c r="I87" s="7">
        <v>19</v>
      </c>
      <c r="J87" s="8">
        <f t="shared" si="1"/>
        <v>0.42424242424242425</v>
      </c>
      <c r="K87" s="8"/>
      <c r="L87" s="8"/>
      <c r="M87" s="8"/>
      <c r="N87" s="8"/>
      <c r="O87" s="11"/>
      <c r="T87" s="7" t="s">
        <v>165</v>
      </c>
    </row>
    <row r="88" spans="1:20" x14ac:dyDescent="0.25">
      <c r="A88" s="7" t="s">
        <v>185</v>
      </c>
      <c r="B88" s="7" t="s">
        <v>151</v>
      </c>
      <c r="C88" s="7" t="s">
        <v>156</v>
      </c>
      <c r="D88" s="7" t="s">
        <v>157</v>
      </c>
      <c r="H88" s="7">
        <v>13</v>
      </c>
      <c r="I88" s="7">
        <v>18</v>
      </c>
      <c r="J88" s="8">
        <f t="shared" si="1"/>
        <v>0.41935483870967744</v>
      </c>
      <c r="K88" s="8"/>
      <c r="L88" s="8"/>
      <c r="M88" s="8"/>
      <c r="N88" s="8"/>
      <c r="O88" s="11"/>
      <c r="T88" s="7" t="s">
        <v>156</v>
      </c>
    </row>
    <row r="89" spans="1:20" x14ac:dyDescent="0.25">
      <c r="A89" s="7" t="s">
        <v>185</v>
      </c>
      <c r="B89" s="7" t="s">
        <v>151</v>
      </c>
      <c r="C89" s="7" t="s">
        <v>181</v>
      </c>
      <c r="D89" s="7" t="s">
        <v>173</v>
      </c>
      <c r="H89" s="7">
        <v>14</v>
      </c>
      <c r="I89" s="7">
        <v>20</v>
      </c>
      <c r="J89" s="8">
        <f t="shared" si="1"/>
        <v>0.41176470588235292</v>
      </c>
      <c r="K89" s="8"/>
      <c r="L89" s="8"/>
      <c r="M89" s="8"/>
      <c r="N89" s="8"/>
      <c r="O89" s="11"/>
      <c r="T89" s="7" t="s">
        <v>181</v>
      </c>
    </row>
    <row r="90" spans="1:20" x14ac:dyDescent="0.25">
      <c r="A90" s="7" t="s">
        <v>185</v>
      </c>
      <c r="B90" s="7" t="s">
        <v>151</v>
      </c>
      <c r="C90" s="7" t="s">
        <v>184</v>
      </c>
      <c r="D90" s="7" t="s">
        <v>154</v>
      </c>
      <c r="H90" s="7">
        <v>12</v>
      </c>
      <c r="I90" s="7">
        <v>20</v>
      </c>
      <c r="J90" s="8">
        <f t="shared" si="1"/>
        <v>0.375</v>
      </c>
      <c r="K90" s="8"/>
      <c r="L90" s="8"/>
      <c r="M90" s="8"/>
      <c r="N90" s="8"/>
      <c r="O90" s="11"/>
      <c r="T90" s="7" t="s">
        <v>177</v>
      </c>
    </row>
    <row r="91" spans="1:20" x14ac:dyDescent="0.25">
      <c r="A91" s="7" t="s">
        <v>185</v>
      </c>
      <c r="B91" s="7" t="s">
        <v>151</v>
      </c>
      <c r="C91" s="7" t="s">
        <v>179</v>
      </c>
      <c r="D91" s="7" t="s">
        <v>164</v>
      </c>
      <c r="H91" s="7">
        <v>10</v>
      </c>
      <c r="I91" s="7">
        <v>22</v>
      </c>
      <c r="J91" s="8">
        <f t="shared" si="1"/>
        <v>0.3125</v>
      </c>
      <c r="K91" s="8"/>
      <c r="L91" s="8"/>
      <c r="M91" s="8"/>
      <c r="N91" s="8"/>
      <c r="O91" s="11"/>
      <c r="T91" s="7" t="s">
        <v>179</v>
      </c>
    </row>
    <row r="92" spans="1:20" x14ac:dyDescent="0.25">
      <c r="A92" s="7" t="s">
        <v>185</v>
      </c>
      <c r="B92" s="7" t="s">
        <v>151</v>
      </c>
      <c r="C92" s="7" t="s">
        <v>162</v>
      </c>
      <c r="D92" s="7" t="s">
        <v>152</v>
      </c>
      <c r="H92" s="7">
        <v>10</v>
      </c>
      <c r="I92" s="7">
        <v>22</v>
      </c>
      <c r="J92" s="8">
        <f t="shared" si="1"/>
        <v>0.3125</v>
      </c>
      <c r="K92" s="8"/>
      <c r="L92" s="8"/>
      <c r="M92" s="8"/>
      <c r="N92" s="8"/>
      <c r="O92" s="11"/>
      <c r="T92" s="7" t="s">
        <v>162</v>
      </c>
    </row>
    <row r="93" spans="1:20" x14ac:dyDescent="0.25">
      <c r="A93" s="7" t="s">
        <v>185</v>
      </c>
      <c r="B93" s="7" t="s">
        <v>151</v>
      </c>
      <c r="C93" s="7" t="s">
        <v>158</v>
      </c>
      <c r="D93" s="7" t="s">
        <v>159</v>
      </c>
      <c r="H93" s="7">
        <v>8</v>
      </c>
      <c r="I93" s="7">
        <v>24</v>
      </c>
      <c r="J93" s="8">
        <f t="shared" si="1"/>
        <v>0.25</v>
      </c>
      <c r="K93" s="8"/>
      <c r="L93" s="8"/>
      <c r="M93" s="8"/>
      <c r="N93" s="8"/>
      <c r="O93" s="11"/>
      <c r="T93" s="7" t="s">
        <v>158</v>
      </c>
    </row>
    <row r="94" spans="1:20" x14ac:dyDescent="0.25">
      <c r="A94" s="7" t="s">
        <v>190</v>
      </c>
      <c r="B94" s="7" t="s">
        <v>151</v>
      </c>
      <c r="C94" s="7" t="s">
        <v>581</v>
      </c>
      <c r="D94" s="7" t="s">
        <v>154</v>
      </c>
      <c r="H94" s="7">
        <v>24</v>
      </c>
      <c r="I94" s="7">
        <v>10</v>
      </c>
      <c r="J94" s="8">
        <f t="shared" si="1"/>
        <v>0.70588235294117652</v>
      </c>
      <c r="K94" s="8" t="s">
        <v>30</v>
      </c>
      <c r="L94" s="8" t="s">
        <v>30</v>
      </c>
      <c r="M94" s="8" t="s">
        <v>30</v>
      </c>
      <c r="N94" s="8" t="s">
        <v>30</v>
      </c>
      <c r="O94" s="11"/>
      <c r="P94" s="7">
        <v>3</v>
      </c>
      <c r="Q94" s="7">
        <v>2</v>
      </c>
      <c r="R94" s="7">
        <v>1</v>
      </c>
      <c r="S94" s="7">
        <v>1</v>
      </c>
      <c r="T94" s="7" t="s">
        <v>581</v>
      </c>
    </row>
    <row r="95" spans="1:20" x14ac:dyDescent="0.25">
      <c r="A95" s="7" t="s">
        <v>190</v>
      </c>
      <c r="B95" s="7" t="s">
        <v>151</v>
      </c>
      <c r="C95" s="7" t="s">
        <v>188</v>
      </c>
      <c r="D95" s="7" t="s">
        <v>187</v>
      </c>
      <c r="H95" s="7">
        <v>24</v>
      </c>
      <c r="I95" s="7">
        <v>10</v>
      </c>
      <c r="J95" s="8">
        <f t="shared" si="1"/>
        <v>0.70588235294117652</v>
      </c>
      <c r="K95" s="8" t="s">
        <v>30</v>
      </c>
      <c r="L95" s="8" t="s">
        <v>30</v>
      </c>
      <c r="M95" s="8" t="s">
        <v>30</v>
      </c>
      <c r="N95" s="8"/>
      <c r="O95" s="11"/>
      <c r="P95" s="7">
        <v>3</v>
      </c>
      <c r="Q95" s="7">
        <v>0</v>
      </c>
      <c r="R95" s="7">
        <v>0</v>
      </c>
      <c r="S95" s="7">
        <v>2</v>
      </c>
      <c r="T95" s="7" t="s">
        <v>188</v>
      </c>
    </row>
    <row r="96" spans="1:20" x14ac:dyDescent="0.25">
      <c r="A96" s="7" t="s">
        <v>190</v>
      </c>
      <c r="B96" s="7" t="s">
        <v>151</v>
      </c>
      <c r="C96" s="7" t="s">
        <v>178</v>
      </c>
      <c r="D96" s="7" t="s">
        <v>157</v>
      </c>
      <c r="H96" s="7">
        <v>22</v>
      </c>
      <c r="I96" s="7">
        <v>12</v>
      </c>
      <c r="J96" s="8">
        <f t="shared" si="1"/>
        <v>0.6470588235294118</v>
      </c>
      <c r="K96" s="8" t="s">
        <v>30</v>
      </c>
      <c r="L96" s="8" t="s">
        <v>30</v>
      </c>
      <c r="M96" s="8" t="s">
        <v>30</v>
      </c>
      <c r="N96" s="8" t="s">
        <v>30</v>
      </c>
      <c r="O96" s="11" t="s">
        <v>30</v>
      </c>
      <c r="P96" s="7">
        <v>3</v>
      </c>
      <c r="Q96" s="7">
        <v>2</v>
      </c>
      <c r="R96" s="7">
        <v>2</v>
      </c>
      <c r="S96" s="7">
        <v>0</v>
      </c>
      <c r="T96" s="7" t="s">
        <v>178</v>
      </c>
    </row>
    <row r="97" spans="1:20" x14ac:dyDescent="0.25">
      <c r="A97" s="7" t="s">
        <v>190</v>
      </c>
      <c r="B97" s="7" t="s">
        <v>151</v>
      </c>
      <c r="C97" s="7" t="s">
        <v>170</v>
      </c>
      <c r="D97" s="7" t="s">
        <v>171</v>
      </c>
      <c r="H97" s="7">
        <v>21</v>
      </c>
      <c r="I97" s="7">
        <v>13</v>
      </c>
      <c r="J97" s="8">
        <f t="shared" si="1"/>
        <v>0.61764705882352944</v>
      </c>
      <c r="K97" s="8" t="s">
        <v>30</v>
      </c>
      <c r="L97" s="8" t="s">
        <v>30</v>
      </c>
      <c r="M97" s="8" t="s">
        <v>30</v>
      </c>
      <c r="N97" s="8"/>
      <c r="O97" s="11"/>
      <c r="P97" s="7">
        <v>3</v>
      </c>
      <c r="Q97" s="7">
        <v>2</v>
      </c>
      <c r="R97" s="7">
        <v>1</v>
      </c>
      <c r="S97" s="7">
        <v>1</v>
      </c>
      <c r="T97" s="7" t="s">
        <v>170</v>
      </c>
    </row>
    <row r="98" spans="1:20" x14ac:dyDescent="0.25">
      <c r="A98" s="7" t="s">
        <v>190</v>
      </c>
      <c r="B98" s="7" t="s">
        <v>151</v>
      </c>
      <c r="C98" s="7" t="s">
        <v>172</v>
      </c>
      <c r="D98" s="7" t="s">
        <v>173</v>
      </c>
      <c r="H98" s="7">
        <v>21</v>
      </c>
      <c r="I98" s="7">
        <v>13</v>
      </c>
      <c r="J98" s="8">
        <f t="shared" si="1"/>
        <v>0.61764705882352944</v>
      </c>
      <c r="K98" s="8" t="s">
        <v>30</v>
      </c>
      <c r="L98" s="8" t="s">
        <v>30</v>
      </c>
      <c r="M98" s="8"/>
      <c r="N98" s="8"/>
      <c r="O98" s="11"/>
      <c r="P98" s="7">
        <v>2</v>
      </c>
      <c r="Q98" s="7">
        <v>3</v>
      </c>
      <c r="T98" s="7" t="s">
        <v>172</v>
      </c>
    </row>
    <row r="99" spans="1:20" x14ac:dyDescent="0.25">
      <c r="A99" s="7" t="s">
        <v>190</v>
      </c>
      <c r="B99" s="7" t="s">
        <v>151</v>
      </c>
      <c r="C99" s="7" t="s">
        <v>155</v>
      </c>
      <c r="D99" s="7" t="s">
        <v>154</v>
      </c>
      <c r="H99" s="7">
        <v>20</v>
      </c>
      <c r="I99" s="7">
        <v>13</v>
      </c>
      <c r="J99" s="8">
        <f t="shared" si="1"/>
        <v>0.60606060606060608</v>
      </c>
      <c r="K99" s="8" t="s">
        <v>30</v>
      </c>
      <c r="L99" s="8" t="s">
        <v>30</v>
      </c>
      <c r="M99" s="8"/>
      <c r="N99" s="8"/>
      <c r="O99" s="11"/>
      <c r="P99" s="7">
        <v>2</v>
      </c>
      <c r="Q99" s="7">
        <v>3</v>
      </c>
      <c r="T99" s="7" t="s">
        <v>155</v>
      </c>
    </row>
    <row r="100" spans="1:20" x14ac:dyDescent="0.25">
      <c r="A100" s="7" t="s">
        <v>190</v>
      </c>
      <c r="B100" s="7" t="s">
        <v>151</v>
      </c>
      <c r="C100" s="7" t="s">
        <v>186</v>
      </c>
      <c r="D100" s="7" t="s">
        <v>187</v>
      </c>
      <c r="H100" s="7">
        <v>20</v>
      </c>
      <c r="I100" s="7">
        <v>14</v>
      </c>
      <c r="J100" s="8">
        <f t="shared" si="1"/>
        <v>0.58823529411764708</v>
      </c>
      <c r="K100" s="8" t="s">
        <v>30</v>
      </c>
      <c r="L100" s="8" t="s">
        <v>30</v>
      </c>
      <c r="M100" s="8"/>
      <c r="N100" s="8"/>
      <c r="O100" s="11"/>
      <c r="P100" s="7">
        <v>2</v>
      </c>
      <c r="Q100" s="7">
        <v>3</v>
      </c>
      <c r="T100" s="7" t="s">
        <v>186</v>
      </c>
    </row>
    <row r="101" spans="1:20" x14ac:dyDescent="0.25">
      <c r="A101" s="7" t="s">
        <v>190</v>
      </c>
      <c r="B101" s="7" t="s">
        <v>151</v>
      </c>
      <c r="C101" s="7" t="s">
        <v>156</v>
      </c>
      <c r="D101" s="7" t="s">
        <v>157</v>
      </c>
      <c r="H101" s="7">
        <v>20</v>
      </c>
      <c r="I101" s="7">
        <v>14</v>
      </c>
      <c r="J101" s="8">
        <f t="shared" si="1"/>
        <v>0.58823529411764708</v>
      </c>
      <c r="K101" s="8" t="s">
        <v>30</v>
      </c>
      <c r="L101" s="8" t="s">
        <v>30</v>
      </c>
      <c r="M101" s="8"/>
      <c r="N101" s="8"/>
      <c r="O101" s="11"/>
      <c r="P101" s="7">
        <v>0</v>
      </c>
      <c r="Q101" s="7">
        <v>3</v>
      </c>
      <c r="T101" s="7" t="s">
        <v>156</v>
      </c>
    </row>
    <row r="102" spans="1:20" x14ac:dyDescent="0.25">
      <c r="A102" s="7" t="s">
        <v>190</v>
      </c>
      <c r="B102" s="7" t="s">
        <v>151</v>
      </c>
      <c r="C102" s="7" t="s">
        <v>153</v>
      </c>
      <c r="D102" s="7" t="s">
        <v>154</v>
      </c>
      <c r="H102" s="7">
        <v>19</v>
      </c>
      <c r="I102" s="7">
        <v>15</v>
      </c>
      <c r="J102" s="8">
        <f t="shared" si="1"/>
        <v>0.55882352941176472</v>
      </c>
      <c r="K102" s="8"/>
      <c r="L102" s="8"/>
      <c r="M102" s="8"/>
      <c r="N102" s="8"/>
      <c r="O102" s="11"/>
      <c r="T102" s="7" t="s">
        <v>153</v>
      </c>
    </row>
    <row r="103" spans="1:20" x14ac:dyDescent="0.25">
      <c r="A103" s="7" t="s">
        <v>190</v>
      </c>
      <c r="B103" s="7" t="s">
        <v>151</v>
      </c>
      <c r="C103" s="7" t="s">
        <v>191</v>
      </c>
      <c r="D103" s="7" t="s">
        <v>154</v>
      </c>
      <c r="H103" s="7">
        <v>17</v>
      </c>
      <c r="I103" s="7">
        <v>16</v>
      </c>
      <c r="J103" s="8">
        <f t="shared" si="1"/>
        <v>0.51515151515151514</v>
      </c>
      <c r="K103" s="8"/>
      <c r="L103" s="8"/>
      <c r="M103" s="8"/>
      <c r="N103" s="8"/>
      <c r="O103" s="11"/>
      <c r="T103" s="7" t="s">
        <v>177</v>
      </c>
    </row>
    <row r="104" spans="1:20" x14ac:dyDescent="0.25">
      <c r="A104" s="7" t="s">
        <v>190</v>
      </c>
      <c r="B104" s="7" t="s">
        <v>151</v>
      </c>
      <c r="C104" s="7" t="s">
        <v>158</v>
      </c>
      <c r="D104" s="7" t="s">
        <v>159</v>
      </c>
      <c r="H104" s="7">
        <v>17</v>
      </c>
      <c r="I104" s="7">
        <v>17</v>
      </c>
      <c r="J104" s="8">
        <f t="shared" si="1"/>
        <v>0.5</v>
      </c>
      <c r="K104" s="8"/>
      <c r="L104" s="8"/>
      <c r="M104" s="8"/>
      <c r="N104" s="8"/>
      <c r="O104" s="11"/>
      <c r="T104" s="7" t="s">
        <v>158</v>
      </c>
    </row>
    <row r="105" spans="1:20" x14ac:dyDescent="0.25">
      <c r="A105" s="7" t="s">
        <v>190</v>
      </c>
      <c r="B105" s="7" t="s">
        <v>151</v>
      </c>
      <c r="C105" s="7" t="s">
        <v>149</v>
      </c>
      <c r="D105" s="7" t="s">
        <v>152</v>
      </c>
      <c r="H105" s="7">
        <v>16</v>
      </c>
      <c r="I105" s="7">
        <v>18</v>
      </c>
      <c r="J105" s="8">
        <f t="shared" si="1"/>
        <v>0.47058823529411764</v>
      </c>
      <c r="K105" s="8"/>
      <c r="L105" s="8"/>
      <c r="M105" s="8"/>
      <c r="N105" s="8"/>
      <c r="O105" s="11"/>
      <c r="T105" s="7" t="s">
        <v>149</v>
      </c>
    </row>
    <row r="106" spans="1:20" x14ac:dyDescent="0.25">
      <c r="A106" s="7" t="s">
        <v>190</v>
      </c>
      <c r="B106" s="7" t="s">
        <v>151</v>
      </c>
      <c r="C106" s="7" t="s">
        <v>169</v>
      </c>
      <c r="D106" s="7" t="s">
        <v>161</v>
      </c>
      <c r="H106" s="7">
        <v>14</v>
      </c>
      <c r="I106" s="7">
        <v>20</v>
      </c>
      <c r="J106" s="8">
        <f t="shared" si="1"/>
        <v>0.41176470588235292</v>
      </c>
      <c r="K106" s="8"/>
      <c r="L106" s="8"/>
      <c r="M106" s="8"/>
      <c r="N106" s="8"/>
      <c r="O106" s="11"/>
      <c r="T106" s="7" t="s">
        <v>169</v>
      </c>
    </row>
    <row r="107" spans="1:20" x14ac:dyDescent="0.25">
      <c r="A107" s="7" t="s">
        <v>190</v>
      </c>
      <c r="B107" s="7" t="s">
        <v>151</v>
      </c>
      <c r="C107" s="7" t="s">
        <v>179</v>
      </c>
      <c r="D107" s="7" t="s">
        <v>164</v>
      </c>
      <c r="H107" s="7">
        <v>13</v>
      </c>
      <c r="I107" s="7">
        <v>21</v>
      </c>
      <c r="J107" s="8">
        <f t="shared" si="1"/>
        <v>0.38235294117647056</v>
      </c>
      <c r="K107" s="8"/>
      <c r="L107" s="8"/>
      <c r="M107" s="8"/>
      <c r="N107" s="8"/>
      <c r="O107" s="11"/>
      <c r="T107" s="7" t="s">
        <v>179</v>
      </c>
    </row>
    <row r="108" spans="1:20" x14ac:dyDescent="0.25">
      <c r="A108" s="7" t="s">
        <v>190</v>
      </c>
      <c r="B108" s="7" t="s">
        <v>151</v>
      </c>
      <c r="C108" s="7" t="s">
        <v>181</v>
      </c>
      <c r="D108" s="7" t="s">
        <v>173</v>
      </c>
      <c r="H108" s="7">
        <v>12</v>
      </c>
      <c r="I108" s="7">
        <v>22</v>
      </c>
      <c r="J108" s="8">
        <f t="shared" si="1"/>
        <v>0.35294117647058826</v>
      </c>
      <c r="K108" s="8"/>
      <c r="L108" s="8"/>
      <c r="M108" s="8"/>
      <c r="N108" s="8"/>
      <c r="O108" s="11"/>
      <c r="T108" s="7" t="s">
        <v>181</v>
      </c>
    </row>
    <row r="109" spans="1:20" x14ac:dyDescent="0.25">
      <c r="A109" s="7" t="s">
        <v>190</v>
      </c>
      <c r="B109" s="7" t="s">
        <v>151</v>
      </c>
      <c r="C109" s="7" t="s">
        <v>162</v>
      </c>
      <c r="D109" s="7" t="s">
        <v>152</v>
      </c>
      <c r="H109" s="7">
        <v>11</v>
      </c>
      <c r="I109" s="7">
        <v>23</v>
      </c>
      <c r="J109" s="8">
        <f t="shared" si="1"/>
        <v>0.3235294117647059</v>
      </c>
      <c r="K109" s="8"/>
      <c r="L109" s="8"/>
      <c r="M109" s="8"/>
      <c r="N109" s="8"/>
      <c r="O109" s="11"/>
      <c r="T109" s="7" t="s">
        <v>162</v>
      </c>
    </row>
    <row r="110" spans="1:20" x14ac:dyDescent="0.25">
      <c r="A110" s="7" t="s">
        <v>190</v>
      </c>
      <c r="B110" s="7" t="s">
        <v>151</v>
      </c>
      <c r="C110" s="7" t="s">
        <v>165</v>
      </c>
      <c r="D110" s="7" t="s">
        <v>166</v>
      </c>
      <c r="H110" s="7">
        <v>10</v>
      </c>
      <c r="I110" s="7">
        <v>24</v>
      </c>
      <c r="J110" s="8">
        <f t="shared" si="1"/>
        <v>0.29411764705882354</v>
      </c>
      <c r="K110" s="8"/>
      <c r="L110" s="8"/>
      <c r="M110" s="8"/>
      <c r="N110" s="8"/>
      <c r="O110" s="11"/>
      <c r="T110" s="7" t="s">
        <v>165</v>
      </c>
    </row>
    <row r="111" spans="1:20" x14ac:dyDescent="0.25">
      <c r="A111" s="7" t="s">
        <v>190</v>
      </c>
      <c r="B111" s="7" t="s">
        <v>151</v>
      </c>
      <c r="C111" s="7" t="s">
        <v>192</v>
      </c>
      <c r="D111" s="7" t="s">
        <v>187</v>
      </c>
      <c r="H111" s="7">
        <v>4</v>
      </c>
      <c r="I111" s="7">
        <v>30</v>
      </c>
      <c r="J111" s="8">
        <f t="shared" si="1"/>
        <v>0.11764705882352941</v>
      </c>
      <c r="K111" s="8"/>
      <c r="L111" s="8"/>
      <c r="M111" s="8"/>
      <c r="N111" s="8"/>
      <c r="O111" s="11"/>
      <c r="T111" s="7" t="s">
        <v>192</v>
      </c>
    </row>
    <row r="112" spans="1:20" x14ac:dyDescent="0.25">
      <c r="A112" s="7" t="s">
        <v>193</v>
      </c>
      <c r="B112" s="7" t="s">
        <v>151</v>
      </c>
      <c r="C112" s="7" t="s">
        <v>178</v>
      </c>
      <c r="D112" s="7" t="s">
        <v>157</v>
      </c>
      <c r="H112" s="7">
        <v>24</v>
      </c>
      <c r="I112" s="7">
        <v>4</v>
      </c>
      <c r="J112" s="8">
        <f t="shared" si="1"/>
        <v>0.8571428571428571</v>
      </c>
      <c r="K112" s="8"/>
      <c r="L112" s="8"/>
      <c r="M112" s="8"/>
      <c r="N112" s="8"/>
      <c r="O112" s="11"/>
      <c r="T112" s="7" t="s">
        <v>178</v>
      </c>
    </row>
    <row r="113" spans="1:20" x14ac:dyDescent="0.25">
      <c r="A113" s="7" t="s">
        <v>193</v>
      </c>
      <c r="B113" s="7" t="s">
        <v>151</v>
      </c>
      <c r="C113" s="7" t="s">
        <v>581</v>
      </c>
      <c r="D113" s="7" t="s">
        <v>154</v>
      </c>
      <c r="H113" s="7">
        <v>22</v>
      </c>
      <c r="I113" s="7">
        <v>6</v>
      </c>
      <c r="J113" s="8">
        <f t="shared" si="1"/>
        <v>0.7857142857142857</v>
      </c>
      <c r="K113" s="8"/>
      <c r="L113" s="8"/>
      <c r="M113" s="8"/>
      <c r="N113" s="8"/>
      <c r="O113" s="11"/>
      <c r="T113" s="7" t="s">
        <v>581</v>
      </c>
    </row>
    <row r="114" spans="1:20" x14ac:dyDescent="0.25">
      <c r="A114" s="7" t="s">
        <v>193</v>
      </c>
      <c r="B114" s="7" t="s">
        <v>151</v>
      </c>
      <c r="C114" s="7" t="s">
        <v>155</v>
      </c>
      <c r="D114" s="7" t="s">
        <v>154</v>
      </c>
      <c r="H114" s="7">
        <v>22</v>
      </c>
      <c r="I114" s="7">
        <v>6</v>
      </c>
      <c r="J114" s="8">
        <f t="shared" si="1"/>
        <v>0.7857142857142857</v>
      </c>
      <c r="K114" s="8"/>
      <c r="L114" s="8"/>
      <c r="M114" s="8"/>
      <c r="N114" s="8"/>
      <c r="O114" s="11"/>
      <c r="T114" s="7" t="s">
        <v>155</v>
      </c>
    </row>
    <row r="115" spans="1:20" x14ac:dyDescent="0.25">
      <c r="A115" s="7" t="s">
        <v>193</v>
      </c>
      <c r="B115" s="7" t="s">
        <v>151</v>
      </c>
      <c r="C115" s="7" t="s">
        <v>169</v>
      </c>
      <c r="D115" s="7" t="s">
        <v>161</v>
      </c>
      <c r="H115" s="7">
        <v>19</v>
      </c>
      <c r="I115" s="7">
        <v>9</v>
      </c>
      <c r="J115" s="8">
        <f t="shared" si="1"/>
        <v>0.6785714285714286</v>
      </c>
      <c r="K115" s="8"/>
      <c r="L115" s="8"/>
      <c r="M115" s="8"/>
      <c r="N115" s="8"/>
      <c r="O115" s="11"/>
      <c r="T115" s="7" t="s">
        <v>169</v>
      </c>
    </row>
    <row r="116" spans="1:20" x14ac:dyDescent="0.25">
      <c r="A116" s="7" t="s">
        <v>193</v>
      </c>
      <c r="B116" s="7" t="s">
        <v>151</v>
      </c>
      <c r="C116" s="7" t="s">
        <v>188</v>
      </c>
      <c r="D116" s="7" t="s">
        <v>187</v>
      </c>
      <c r="H116" s="7">
        <v>19</v>
      </c>
      <c r="I116" s="7">
        <v>9</v>
      </c>
      <c r="J116" s="8">
        <f t="shared" si="1"/>
        <v>0.6785714285714286</v>
      </c>
      <c r="K116" s="8"/>
      <c r="L116" s="8"/>
      <c r="M116" s="8"/>
      <c r="N116" s="8"/>
      <c r="O116" s="11"/>
      <c r="T116" s="7" t="s">
        <v>188</v>
      </c>
    </row>
    <row r="117" spans="1:20" x14ac:dyDescent="0.25">
      <c r="A117" s="7" t="s">
        <v>193</v>
      </c>
      <c r="B117" s="7" t="s">
        <v>151</v>
      </c>
      <c r="C117" s="7" t="s">
        <v>162</v>
      </c>
      <c r="D117" s="7" t="s">
        <v>152</v>
      </c>
      <c r="H117" s="7">
        <v>14</v>
      </c>
      <c r="I117" s="7">
        <v>14</v>
      </c>
      <c r="J117" s="8">
        <f t="shared" si="1"/>
        <v>0.5</v>
      </c>
      <c r="K117" s="8"/>
      <c r="L117" s="8"/>
      <c r="M117" s="8"/>
      <c r="N117" s="8"/>
      <c r="O117" s="11"/>
      <c r="T117" s="7" t="s">
        <v>162</v>
      </c>
    </row>
    <row r="118" spans="1:20" x14ac:dyDescent="0.25">
      <c r="A118" s="7" t="s">
        <v>193</v>
      </c>
      <c r="B118" s="7" t="s">
        <v>151</v>
      </c>
      <c r="C118" s="7" t="s">
        <v>192</v>
      </c>
      <c r="D118" s="7" t="s">
        <v>187</v>
      </c>
      <c r="H118" s="7">
        <v>13</v>
      </c>
      <c r="I118" s="7">
        <v>15</v>
      </c>
      <c r="J118" s="8">
        <f t="shared" si="1"/>
        <v>0.4642857142857143</v>
      </c>
      <c r="K118" s="8"/>
      <c r="L118" s="8"/>
      <c r="M118" s="8"/>
      <c r="N118" s="8"/>
      <c r="O118" s="11"/>
      <c r="T118" s="7" t="s">
        <v>192</v>
      </c>
    </row>
    <row r="119" spans="1:20" x14ac:dyDescent="0.25">
      <c r="A119" s="7" t="s">
        <v>193</v>
      </c>
      <c r="B119" s="7" t="s">
        <v>151</v>
      </c>
      <c r="C119" s="7" t="s">
        <v>156</v>
      </c>
      <c r="D119" s="7" t="s">
        <v>157</v>
      </c>
      <c r="H119" s="7">
        <v>13</v>
      </c>
      <c r="I119" s="7">
        <v>15</v>
      </c>
      <c r="J119" s="8">
        <f t="shared" si="1"/>
        <v>0.4642857142857143</v>
      </c>
      <c r="K119" s="8"/>
      <c r="L119" s="8"/>
      <c r="M119" s="8"/>
      <c r="N119" s="8"/>
      <c r="O119" s="11"/>
      <c r="T119" s="7" t="s">
        <v>156</v>
      </c>
    </row>
    <row r="120" spans="1:20" x14ac:dyDescent="0.25">
      <c r="A120" s="7" t="s">
        <v>193</v>
      </c>
      <c r="B120" s="7" t="s">
        <v>151</v>
      </c>
      <c r="C120" s="7" t="s">
        <v>149</v>
      </c>
      <c r="D120" s="7" t="s">
        <v>152</v>
      </c>
      <c r="H120" s="7">
        <v>12</v>
      </c>
      <c r="I120" s="7">
        <v>16</v>
      </c>
      <c r="J120" s="8">
        <f t="shared" si="1"/>
        <v>0.42857142857142855</v>
      </c>
      <c r="K120" s="8"/>
      <c r="L120" s="8"/>
      <c r="M120" s="8"/>
      <c r="N120" s="8"/>
      <c r="O120" s="11"/>
      <c r="T120" s="7" t="s">
        <v>149</v>
      </c>
    </row>
    <row r="121" spans="1:20" x14ac:dyDescent="0.25">
      <c r="A121" s="7" t="s">
        <v>193</v>
      </c>
      <c r="B121" s="7" t="s">
        <v>151</v>
      </c>
      <c r="C121" s="7" t="s">
        <v>170</v>
      </c>
      <c r="D121" s="7" t="s">
        <v>171</v>
      </c>
      <c r="H121" s="7">
        <v>12</v>
      </c>
      <c r="I121" s="7">
        <v>16</v>
      </c>
      <c r="J121" s="8">
        <f t="shared" si="1"/>
        <v>0.42857142857142855</v>
      </c>
      <c r="K121" s="8"/>
      <c r="L121" s="8"/>
      <c r="M121" s="8"/>
      <c r="N121" s="8"/>
      <c r="O121" s="11"/>
      <c r="T121" s="7" t="s">
        <v>170</v>
      </c>
    </row>
    <row r="122" spans="1:20" x14ac:dyDescent="0.25">
      <c r="A122" s="7" t="s">
        <v>193</v>
      </c>
      <c r="B122" s="7" t="s">
        <v>151</v>
      </c>
      <c r="C122" s="7" t="s">
        <v>158</v>
      </c>
      <c r="D122" s="7" t="s">
        <v>159</v>
      </c>
      <c r="H122" s="7">
        <v>12</v>
      </c>
      <c r="I122" s="7">
        <v>16</v>
      </c>
      <c r="J122" s="8">
        <f t="shared" si="1"/>
        <v>0.42857142857142855</v>
      </c>
      <c r="K122" s="8"/>
      <c r="L122" s="8"/>
      <c r="M122" s="8"/>
      <c r="N122" s="8"/>
      <c r="O122" s="11"/>
      <c r="T122" s="7" t="s">
        <v>158</v>
      </c>
    </row>
    <row r="123" spans="1:20" x14ac:dyDescent="0.25">
      <c r="A123" s="7" t="s">
        <v>193</v>
      </c>
      <c r="B123" s="7" t="s">
        <v>151</v>
      </c>
      <c r="C123" s="7" t="s">
        <v>194</v>
      </c>
      <c r="D123" s="7" t="s">
        <v>154</v>
      </c>
      <c r="H123" s="7">
        <v>12</v>
      </c>
      <c r="I123" s="7">
        <v>16</v>
      </c>
      <c r="J123" s="8">
        <f t="shared" si="1"/>
        <v>0.42857142857142855</v>
      </c>
      <c r="K123" s="8"/>
      <c r="L123" s="8"/>
      <c r="M123" s="8"/>
      <c r="N123" s="8"/>
      <c r="O123" s="11"/>
      <c r="T123" s="7" t="s">
        <v>177</v>
      </c>
    </row>
    <row r="124" spans="1:20" x14ac:dyDescent="0.25">
      <c r="A124" s="7" t="s">
        <v>193</v>
      </c>
      <c r="B124" s="7" t="s">
        <v>151</v>
      </c>
      <c r="C124" s="7" t="s">
        <v>153</v>
      </c>
      <c r="D124" s="7" t="s">
        <v>154</v>
      </c>
      <c r="H124" s="7">
        <v>12</v>
      </c>
      <c r="I124" s="7">
        <v>16</v>
      </c>
      <c r="J124" s="8">
        <f t="shared" si="1"/>
        <v>0.42857142857142855</v>
      </c>
      <c r="K124" s="8"/>
      <c r="L124" s="8"/>
      <c r="M124" s="8"/>
      <c r="N124" s="8"/>
      <c r="O124" s="11"/>
      <c r="T124" s="7" t="s">
        <v>153</v>
      </c>
    </row>
    <row r="125" spans="1:20" x14ac:dyDescent="0.25">
      <c r="A125" s="7" t="s">
        <v>193</v>
      </c>
      <c r="B125" s="7" t="s">
        <v>151</v>
      </c>
      <c r="C125" s="7" t="s">
        <v>165</v>
      </c>
      <c r="D125" s="7" t="s">
        <v>166</v>
      </c>
      <c r="H125" s="7">
        <v>11</v>
      </c>
      <c r="I125" s="7">
        <v>17</v>
      </c>
      <c r="J125" s="8">
        <f t="shared" si="1"/>
        <v>0.39285714285714285</v>
      </c>
      <c r="K125" s="8"/>
      <c r="L125" s="8"/>
      <c r="M125" s="8"/>
      <c r="N125" s="8"/>
      <c r="O125" s="11"/>
      <c r="T125" s="7" t="s">
        <v>165</v>
      </c>
    </row>
    <row r="126" spans="1:20" x14ac:dyDescent="0.25">
      <c r="A126" s="7" t="s">
        <v>193</v>
      </c>
      <c r="B126" s="7" t="s">
        <v>151</v>
      </c>
      <c r="C126" s="7" t="s">
        <v>179</v>
      </c>
      <c r="D126" s="7" t="s">
        <v>164</v>
      </c>
      <c r="H126" s="7">
        <v>10</v>
      </c>
      <c r="I126" s="7">
        <v>18</v>
      </c>
      <c r="J126" s="8">
        <f t="shared" si="1"/>
        <v>0.35714285714285715</v>
      </c>
      <c r="K126" s="8"/>
      <c r="L126" s="8"/>
      <c r="M126" s="8"/>
      <c r="N126" s="8"/>
      <c r="O126" s="11"/>
      <c r="T126" s="7" t="s">
        <v>179</v>
      </c>
    </row>
    <row r="127" spans="1:20" x14ac:dyDescent="0.25">
      <c r="A127" s="7" t="s">
        <v>193</v>
      </c>
      <c r="B127" s="7" t="s">
        <v>151</v>
      </c>
      <c r="C127" s="7" t="s">
        <v>181</v>
      </c>
      <c r="D127" s="7" t="s">
        <v>173</v>
      </c>
      <c r="H127" s="7">
        <v>9</v>
      </c>
      <c r="I127" s="7">
        <v>19</v>
      </c>
      <c r="J127" s="8">
        <f t="shared" si="1"/>
        <v>0.32142857142857145</v>
      </c>
      <c r="K127" s="8"/>
      <c r="L127" s="8"/>
      <c r="M127" s="8"/>
      <c r="N127" s="8"/>
      <c r="O127" s="11"/>
      <c r="T127" s="7" t="s">
        <v>181</v>
      </c>
    </row>
    <row r="128" spans="1:20" x14ac:dyDescent="0.25">
      <c r="A128" s="7" t="s">
        <v>193</v>
      </c>
      <c r="B128" s="7" t="s">
        <v>151</v>
      </c>
      <c r="C128" s="7" t="s">
        <v>172</v>
      </c>
      <c r="D128" s="7" t="s">
        <v>173</v>
      </c>
      <c r="H128" s="7">
        <v>8</v>
      </c>
      <c r="I128" s="7">
        <v>20</v>
      </c>
      <c r="J128" s="8">
        <f t="shared" si="1"/>
        <v>0.2857142857142857</v>
      </c>
      <c r="K128" s="8"/>
      <c r="L128" s="8"/>
      <c r="M128" s="8"/>
      <c r="N128" s="8"/>
      <c r="O128" s="11"/>
      <c r="T128" s="7" t="s">
        <v>172</v>
      </c>
    </row>
    <row r="129" spans="1:20" x14ac:dyDescent="0.25">
      <c r="A129" s="7" t="s">
        <v>193</v>
      </c>
      <c r="B129" s="7" t="s">
        <v>151</v>
      </c>
      <c r="C129" s="7" t="s">
        <v>186</v>
      </c>
      <c r="D129" s="7" t="s">
        <v>187</v>
      </c>
      <c r="H129" s="7">
        <v>8</v>
      </c>
      <c r="I129" s="7">
        <v>20</v>
      </c>
      <c r="J129" s="8">
        <f t="shared" si="1"/>
        <v>0.2857142857142857</v>
      </c>
      <c r="K129" s="8"/>
      <c r="L129" s="8"/>
      <c r="M129" s="8"/>
      <c r="N129" s="8"/>
      <c r="O129" s="11"/>
      <c r="T129" s="7" t="s">
        <v>186</v>
      </c>
    </row>
    <row r="130" spans="1:20" x14ac:dyDescent="0.25">
      <c r="A130" s="7" t="s">
        <v>195</v>
      </c>
      <c r="B130" s="7" t="s">
        <v>151</v>
      </c>
      <c r="C130" s="7" t="s">
        <v>156</v>
      </c>
      <c r="D130" s="7" t="s">
        <v>157</v>
      </c>
      <c r="H130" s="7">
        <v>25</v>
      </c>
      <c r="I130" s="7">
        <v>5</v>
      </c>
      <c r="J130" s="8">
        <f t="shared" ref="J130:J193" si="2">H130/SUM(H130:I130)</f>
        <v>0.83333333333333337</v>
      </c>
      <c r="K130" s="8" t="s">
        <v>30</v>
      </c>
      <c r="L130" s="8" t="s">
        <v>30</v>
      </c>
      <c r="M130" s="8" t="s">
        <v>30</v>
      </c>
      <c r="N130" s="8"/>
      <c r="O130" s="11"/>
      <c r="P130" s="7">
        <v>3</v>
      </c>
      <c r="Q130" s="7">
        <v>1</v>
      </c>
      <c r="R130" s="7">
        <v>0</v>
      </c>
      <c r="S130" s="7">
        <v>2</v>
      </c>
      <c r="T130" s="7" t="s">
        <v>156</v>
      </c>
    </row>
    <row r="131" spans="1:20" x14ac:dyDescent="0.25">
      <c r="A131" s="7" t="s">
        <v>195</v>
      </c>
      <c r="B131" s="7" t="s">
        <v>151</v>
      </c>
      <c r="C131" s="7" t="s">
        <v>188</v>
      </c>
      <c r="D131" s="7" t="s">
        <v>187</v>
      </c>
      <c r="H131" s="7">
        <v>24</v>
      </c>
      <c r="I131" s="7">
        <v>6</v>
      </c>
      <c r="J131" s="8">
        <f t="shared" si="2"/>
        <v>0.8</v>
      </c>
      <c r="K131" s="8" t="s">
        <v>30</v>
      </c>
      <c r="L131" s="8" t="s">
        <v>30</v>
      </c>
      <c r="M131" s="8" t="s">
        <v>30</v>
      </c>
      <c r="N131" s="8" t="s">
        <v>30</v>
      </c>
      <c r="O131" s="11" t="s">
        <v>30</v>
      </c>
      <c r="P131" s="7">
        <v>3</v>
      </c>
      <c r="Q131" s="7">
        <v>1</v>
      </c>
      <c r="R131" s="7">
        <v>2</v>
      </c>
      <c r="S131" s="7">
        <v>0</v>
      </c>
      <c r="T131" s="7" t="s">
        <v>188</v>
      </c>
    </row>
    <row r="132" spans="1:20" x14ac:dyDescent="0.25">
      <c r="A132" s="7" t="s">
        <v>195</v>
      </c>
      <c r="B132" s="7" t="s">
        <v>151</v>
      </c>
      <c r="C132" s="7" t="s">
        <v>155</v>
      </c>
      <c r="D132" s="7" t="s">
        <v>154</v>
      </c>
      <c r="H132" s="7">
        <v>22</v>
      </c>
      <c r="I132" s="7">
        <v>8</v>
      </c>
      <c r="J132" s="8">
        <f t="shared" si="2"/>
        <v>0.73333333333333328</v>
      </c>
      <c r="K132" s="8" t="s">
        <v>30</v>
      </c>
      <c r="L132" s="8" t="s">
        <v>30</v>
      </c>
      <c r="M132" s="8" t="s">
        <v>30</v>
      </c>
      <c r="N132" s="8"/>
      <c r="O132" s="11"/>
      <c r="P132" s="7">
        <v>3</v>
      </c>
      <c r="Q132" s="7">
        <v>0</v>
      </c>
      <c r="R132" s="7">
        <v>1</v>
      </c>
      <c r="S132" s="7">
        <v>1</v>
      </c>
      <c r="T132" s="7" t="s">
        <v>155</v>
      </c>
    </row>
    <row r="133" spans="1:20" x14ac:dyDescent="0.25">
      <c r="A133" s="7" t="s">
        <v>195</v>
      </c>
      <c r="B133" s="7" t="s">
        <v>151</v>
      </c>
      <c r="C133" s="7" t="s">
        <v>178</v>
      </c>
      <c r="D133" s="7" t="s">
        <v>157</v>
      </c>
      <c r="H133" s="7">
        <v>20</v>
      </c>
      <c r="I133" s="7">
        <v>10</v>
      </c>
      <c r="J133" s="8">
        <f t="shared" si="2"/>
        <v>0.66666666666666663</v>
      </c>
      <c r="K133" s="8" t="s">
        <v>30</v>
      </c>
      <c r="L133" s="8" t="s">
        <v>30</v>
      </c>
      <c r="M133" s="8" t="s">
        <v>30</v>
      </c>
      <c r="N133" s="8" t="s">
        <v>30</v>
      </c>
      <c r="O133" s="11"/>
      <c r="P133" s="7">
        <v>3</v>
      </c>
      <c r="Q133" s="7">
        <v>2</v>
      </c>
      <c r="R133" s="7">
        <v>1</v>
      </c>
      <c r="S133" s="7">
        <v>1</v>
      </c>
      <c r="T133" s="7" t="s">
        <v>178</v>
      </c>
    </row>
    <row r="134" spans="1:20" x14ac:dyDescent="0.25">
      <c r="A134" s="7" t="s">
        <v>195</v>
      </c>
      <c r="B134" s="7" t="s">
        <v>151</v>
      </c>
      <c r="C134" s="7" t="s">
        <v>581</v>
      </c>
      <c r="D134" s="7" t="s">
        <v>154</v>
      </c>
      <c r="H134" s="7">
        <v>18</v>
      </c>
      <c r="I134" s="7">
        <v>12</v>
      </c>
      <c r="J134" s="8">
        <f t="shared" si="2"/>
        <v>0.6</v>
      </c>
      <c r="K134" s="8" t="s">
        <v>30</v>
      </c>
      <c r="L134" s="8" t="s">
        <v>30</v>
      </c>
      <c r="M134" s="8"/>
      <c r="N134" s="8"/>
      <c r="O134" s="11"/>
      <c r="P134" s="7">
        <v>2</v>
      </c>
      <c r="Q134" s="7">
        <v>3</v>
      </c>
      <c r="T134" s="7" t="s">
        <v>581</v>
      </c>
    </row>
    <row r="135" spans="1:20" x14ac:dyDescent="0.25">
      <c r="A135" s="7" t="s">
        <v>195</v>
      </c>
      <c r="B135" s="7" t="s">
        <v>151</v>
      </c>
      <c r="C135" s="7" t="s">
        <v>162</v>
      </c>
      <c r="D135" s="7" t="s">
        <v>152</v>
      </c>
      <c r="H135" s="7">
        <v>16</v>
      </c>
      <c r="I135" s="7">
        <v>14</v>
      </c>
      <c r="J135" s="8">
        <f t="shared" si="2"/>
        <v>0.53333333333333333</v>
      </c>
      <c r="K135" s="8" t="s">
        <v>30</v>
      </c>
      <c r="L135" s="8" t="s">
        <v>30</v>
      </c>
      <c r="M135" s="8"/>
      <c r="N135" s="8"/>
      <c r="O135" s="11"/>
      <c r="P135" s="7">
        <v>0</v>
      </c>
      <c r="Q135" s="7">
        <v>3</v>
      </c>
      <c r="T135" s="7" t="s">
        <v>162</v>
      </c>
    </row>
    <row r="136" spans="1:20" x14ac:dyDescent="0.25">
      <c r="A136" s="7" t="s">
        <v>195</v>
      </c>
      <c r="B136" s="7" t="s">
        <v>151</v>
      </c>
      <c r="C136" s="7" t="s">
        <v>158</v>
      </c>
      <c r="D136" s="7" t="s">
        <v>159</v>
      </c>
      <c r="H136" s="7">
        <v>15</v>
      </c>
      <c r="I136" s="7">
        <v>15</v>
      </c>
      <c r="J136" s="8">
        <f t="shared" si="2"/>
        <v>0.5</v>
      </c>
      <c r="K136" s="8" t="s">
        <v>30</v>
      </c>
      <c r="L136" s="8" t="s">
        <v>30</v>
      </c>
      <c r="M136" s="8"/>
      <c r="N136" s="8"/>
      <c r="O136" s="11"/>
      <c r="P136" s="7">
        <v>1</v>
      </c>
      <c r="Q136" s="7">
        <v>3</v>
      </c>
      <c r="T136" s="7" t="s">
        <v>158</v>
      </c>
    </row>
    <row r="137" spans="1:20" x14ac:dyDescent="0.25">
      <c r="A137" s="7" t="s">
        <v>195</v>
      </c>
      <c r="B137" s="7" t="s">
        <v>151</v>
      </c>
      <c r="C137" s="7" t="s">
        <v>194</v>
      </c>
      <c r="D137" s="7" t="s">
        <v>154</v>
      </c>
      <c r="H137" s="7">
        <v>15</v>
      </c>
      <c r="I137" s="7">
        <v>15</v>
      </c>
      <c r="J137" s="8">
        <f t="shared" si="2"/>
        <v>0.5</v>
      </c>
      <c r="K137" s="8" t="s">
        <v>30</v>
      </c>
      <c r="L137" s="8" t="s">
        <v>30</v>
      </c>
      <c r="M137" s="8"/>
      <c r="N137" s="8"/>
      <c r="O137" s="11"/>
      <c r="P137" s="7">
        <v>1</v>
      </c>
      <c r="Q137" s="7">
        <v>3</v>
      </c>
      <c r="T137" s="7" t="s">
        <v>177</v>
      </c>
    </row>
    <row r="138" spans="1:20" x14ac:dyDescent="0.25">
      <c r="A138" s="7" t="s">
        <v>195</v>
      </c>
      <c r="B138" s="7" t="s">
        <v>151</v>
      </c>
      <c r="C138" s="7" t="s">
        <v>149</v>
      </c>
      <c r="D138" s="7" t="s">
        <v>152</v>
      </c>
      <c r="H138" s="7">
        <v>15</v>
      </c>
      <c r="I138" s="7">
        <v>15</v>
      </c>
      <c r="J138" s="8">
        <f t="shared" si="2"/>
        <v>0.5</v>
      </c>
      <c r="K138" s="8"/>
      <c r="L138" s="8"/>
      <c r="M138" s="8"/>
      <c r="N138" s="8"/>
      <c r="O138" s="11"/>
      <c r="T138" s="7" t="s">
        <v>149</v>
      </c>
    </row>
    <row r="139" spans="1:20" x14ac:dyDescent="0.25">
      <c r="A139" s="7" t="s">
        <v>195</v>
      </c>
      <c r="B139" s="7" t="s">
        <v>151</v>
      </c>
      <c r="C139" s="7" t="s">
        <v>172</v>
      </c>
      <c r="D139" s="7" t="s">
        <v>173</v>
      </c>
      <c r="H139" s="7">
        <v>14</v>
      </c>
      <c r="I139" s="7">
        <v>16</v>
      </c>
      <c r="J139" s="8">
        <f t="shared" si="2"/>
        <v>0.46666666666666667</v>
      </c>
      <c r="K139" s="8"/>
      <c r="L139" s="8"/>
      <c r="M139" s="8"/>
      <c r="N139" s="8"/>
      <c r="O139" s="11"/>
      <c r="T139" s="7" t="s">
        <v>172</v>
      </c>
    </row>
    <row r="140" spans="1:20" x14ac:dyDescent="0.25">
      <c r="A140" s="7" t="s">
        <v>195</v>
      </c>
      <c r="B140" s="7" t="s">
        <v>151</v>
      </c>
      <c r="C140" s="7" t="s">
        <v>169</v>
      </c>
      <c r="D140" s="7" t="s">
        <v>161</v>
      </c>
      <c r="H140" s="7">
        <v>14</v>
      </c>
      <c r="I140" s="7">
        <v>16</v>
      </c>
      <c r="J140" s="8">
        <f t="shared" si="2"/>
        <v>0.46666666666666667</v>
      </c>
      <c r="K140" s="8"/>
      <c r="L140" s="8"/>
      <c r="M140" s="8"/>
      <c r="N140" s="8"/>
      <c r="O140" s="11"/>
      <c r="T140" s="7" t="s">
        <v>169</v>
      </c>
    </row>
    <row r="141" spans="1:20" x14ac:dyDescent="0.25">
      <c r="A141" s="7" t="s">
        <v>195</v>
      </c>
      <c r="B141" s="7" t="s">
        <v>151</v>
      </c>
      <c r="C141" s="7" t="s">
        <v>170</v>
      </c>
      <c r="D141" s="7" t="s">
        <v>171</v>
      </c>
      <c r="H141" s="7">
        <v>14</v>
      </c>
      <c r="I141" s="7">
        <v>16</v>
      </c>
      <c r="J141" s="8">
        <f t="shared" si="2"/>
        <v>0.46666666666666667</v>
      </c>
      <c r="K141" s="8"/>
      <c r="L141" s="8"/>
      <c r="M141" s="8"/>
      <c r="N141" s="8"/>
      <c r="O141" s="11"/>
      <c r="T141" s="7" t="s">
        <v>170</v>
      </c>
    </row>
    <row r="142" spans="1:20" x14ac:dyDescent="0.25">
      <c r="A142" s="7" t="s">
        <v>195</v>
      </c>
      <c r="B142" s="7" t="s">
        <v>151</v>
      </c>
      <c r="C142" s="7" t="s">
        <v>192</v>
      </c>
      <c r="D142" s="7" t="s">
        <v>187</v>
      </c>
      <c r="H142" s="7">
        <v>9</v>
      </c>
      <c r="I142" s="7">
        <v>21</v>
      </c>
      <c r="J142" s="8">
        <f t="shared" si="2"/>
        <v>0.3</v>
      </c>
      <c r="K142" s="8"/>
      <c r="L142" s="8"/>
      <c r="M142" s="8"/>
      <c r="N142" s="8"/>
      <c r="O142" s="11"/>
      <c r="T142" s="7" t="s">
        <v>192</v>
      </c>
    </row>
    <row r="143" spans="1:20" x14ac:dyDescent="0.25">
      <c r="A143" s="7" t="s">
        <v>195</v>
      </c>
      <c r="B143" s="7" t="s">
        <v>151</v>
      </c>
      <c r="C143" s="7" t="s">
        <v>196</v>
      </c>
      <c r="D143" s="7" t="s">
        <v>154</v>
      </c>
      <c r="H143" s="7">
        <v>8</v>
      </c>
      <c r="I143" s="7">
        <v>22</v>
      </c>
      <c r="J143" s="8">
        <f t="shared" si="2"/>
        <v>0.26666666666666666</v>
      </c>
      <c r="K143" s="8"/>
      <c r="L143" s="8"/>
      <c r="M143" s="8"/>
      <c r="N143" s="8"/>
      <c r="O143" s="11"/>
      <c r="T143" s="7" t="s">
        <v>196</v>
      </c>
    </row>
    <row r="144" spans="1:20" x14ac:dyDescent="0.25">
      <c r="A144" s="7" t="s">
        <v>195</v>
      </c>
      <c r="B144" s="7" t="s">
        <v>151</v>
      </c>
      <c r="C144" s="7" t="s">
        <v>197</v>
      </c>
      <c r="D144" s="7" t="s">
        <v>198</v>
      </c>
      <c r="H144" s="7">
        <v>6</v>
      </c>
      <c r="I144" s="7">
        <v>24</v>
      </c>
      <c r="J144" s="8">
        <f t="shared" si="2"/>
        <v>0.2</v>
      </c>
      <c r="K144" s="8"/>
      <c r="L144" s="8"/>
      <c r="M144" s="8"/>
      <c r="N144" s="8"/>
      <c r="O144" s="11"/>
      <c r="T144" s="7" t="s">
        <v>197</v>
      </c>
    </row>
    <row r="145" spans="1:20" x14ac:dyDescent="0.25">
      <c r="A145" s="7" t="s">
        <v>195</v>
      </c>
      <c r="B145" s="7" t="s">
        <v>151</v>
      </c>
      <c r="C145" s="7" t="s">
        <v>199</v>
      </c>
      <c r="D145" s="7" t="s">
        <v>157</v>
      </c>
      <c r="H145" s="7">
        <v>5</v>
      </c>
      <c r="I145" s="7">
        <v>25</v>
      </c>
      <c r="J145" s="8">
        <f t="shared" si="2"/>
        <v>0.16666666666666666</v>
      </c>
      <c r="K145" s="8"/>
      <c r="L145" s="8"/>
      <c r="M145" s="8"/>
      <c r="N145" s="8"/>
      <c r="O145" s="11"/>
      <c r="T145" s="7" t="s">
        <v>199</v>
      </c>
    </row>
    <row r="146" spans="1:20" x14ac:dyDescent="0.25">
      <c r="A146" s="7" t="s">
        <v>200</v>
      </c>
      <c r="B146" s="7" t="s">
        <v>151</v>
      </c>
      <c r="C146" s="7" t="s">
        <v>188</v>
      </c>
      <c r="D146" s="7" t="s">
        <v>187</v>
      </c>
      <c r="H146" s="7">
        <v>24</v>
      </c>
      <c r="I146" s="7">
        <v>6</v>
      </c>
      <c r="J146" s="8">
        <f t="shared" si="2"/>
        <v>0.8</v>
      </c>
      <c r="K146" s="8" t="s">
        <v>30</v>
      </c>
      <c r="L146" s="8" t="s">
        <v>30</v>
      </c>
      <c r="M146" s="8" t="s">
        <v>30</v>
      </c>
      <c r="N146" s="8"/>
      <c r="O146" s="11"/>
      <c r="P146" s="7">
        <v>3</v>
      </c>
      <c r="Q146" s="7">
        <v>1</v>
      </c>
      <c r="R146" s="7">
        <v>0</v>
      </c>
      <c r="S146" s="7">
        <v>2</v>
      </c>
      <c r="T146" s="7" t="s">
        <v>188</v>
      </c>
    </row>
    <row r="147" spans="1:20" x14ac:dyDescent="0.25">
      <c r="A147" s="7" t="s">
        <v>200</v>
      </c>
      <c r="B147" s="7" t="s">
        <v>151</v>
      </c>
      <c r="C147" s="7" t="s">
        <v>156</v>
      </c>
      <c r="D147" s="7" t="s">
        <v>157</v>
      </c>
      <c r="H147" s="7">
        <v>21</v>
      </c>
      <c r="I147" s="7">
        <v>9</v>
      </c>
      <c r="J147" s="8">
        <f t="shared" si="2"/>
        <v>0.7</v>
      </c>
      <c r="K147" s="8" t="s">
        <v>30</v>
      </c>
      <c r="L147" s="8" t="s">
        <v>30</v>
      </c>
      <c r="M147" s="8" t="s">
        <v>30</v>
      </c>
      <c r="N147" s="8" t="s">
        <v>30</v>
      </c>
      <c r="O147" s="11"/>
      <c r="P147" s="7">
        <v>3</v>
      </c>
      <c r="Q147" s="7">
        <v>1</v>
      </c>
      <c r="R147" s="7">
        <v>1</v>
      </c>
      <c r="S147" s="7">
        <v>1</v>
      </c>
      <c r="T147" s="7" t="s">
        <v>156</v>
      </c>
    </row>
    <row r="148" spans="1:20" x14ac:dyDescent="0.25">
      <c r="A148" s="7" t="s">
        <v>200</v>
      </c>
      <c r="B148" s="7" t="s">
        <v>151</v>
      </c>
      <c r="C148" s="7" t="s">
        <v>155</v>
      </c>
      <c r="D148" s="7" t="s">
        <v>154</v>
      </c>
      <c r="H148" s="7">
        <v>19</v>
      </c>
      <c r="I148" s="7">
        <v>11</v>
      </c>
      <c r="J148" s="8">
        <f t="shared" si="2"/>
        <v>0.6333333333333333</v>
      </c>
      <c r="K148" s="8" t="s">
        <v>30</v>
      </c>
      <c r="L148" s="8" t="s">
        <v>30</v>
      </c>
      <c r="M148" s="8" t="s">
        <v>30</v>
      </c>
      <c r="N148" s="8" t="s">
        <v>30</v>
      </c>
      <c r="O148" s="11" t="s">
        <v>30</v>
      </c>
      <c r="P148" s="7">
        <v>3</v>
      </c>
      <c r="Q148" s="7">
        <v>1</v>
      </c>
      <c r="R148" s="7">
        <v>2</v>
      </c>
      <c r="S148" s="7">
        <v>0</v>
      </c>
      <c r="T148" s="7" t="s">
        <v>155</v>
      </c>
    </row>
    <row r="149" spans="1:20" x14ac:dyDescent="0.25">
      <c r="A149" s="7" t="s">
        <v>200</v>
      </c>
      <c r="B149" s="7" t="s">
        <v>151</v>
      </c>
      <c r="C149" s="7" t="s">
        <v>158</v>
      </c>
      <c r="D149" s="7" t="s">
        <v>159</v>
      </c>
      <c r="H149" s="7">
        <v>18</v>
      </c>
      <c r="I149" s="7">
        <v>12</v>
      </c>
      <c r="J149" s="8">
        <f t="shared" si="2"/>
        <v>0.6</v>
      </c>
      <c r="K149" s="8" t="s">
        <v>30</v>
      </c>
      <c r="L149" s="8" t="s">
        <v>30</v>
      </c>
      <c r="M149" s="8" t="s">
        <v>30</v>
      </c>
      <c r="N149" s="8"/>
      <c r="O149" s="11"/>
      <c r="P149" s="7">
        <v>3</v>
      </c>
      <c r="Q149" s="7">
        <v>1</v>
      </c>
      <c r="R149" s="7">
        <v>1</v>
      </c>
      <c r="S149" s="7">
        <v>1</v>
      </c>
      <c r="T149" s="7" t="s">
        <v>158</v>
      </c>
    </row>
    <row r="150" spans="1:20" x14ac:dyDescent="0.25">
      <c r="A150" s="7" t="s">
        <v>200</v>
      </c>
      <c r="B150" s="7" t="s">
        <v>151</v>
      </c>
      <c r="C150" s="7" t="s">
        <v>149</v>
      </c>
      <c r="D150" s="7" t="s">
        <v>152</v>
      </c>
      <c r="H150" s="7">
        <v>19</v>
      </c>
      <c r="I150" s="7">
        <v>11</v>
      </c>
      <c r="J150" s="8">
        <f t="shared" si="2"/>
        <v>0.6333333333333333</v>
      </c>
      <c r="K150" s="8" t="s">
        <v>30</v>
      </c>
      <c r="L150" s="8" t="s">
        <v>30</v>
      </c>
      <c r="M150" s="8"/>
      <c r="N150" s="8"/>
      <c r="O150" s="11"/>
      <c r="P150" s="7">
        <v>1</v>
      </c>
      <c r="Q150" s="7">
        <v>3</v>
      </c>
      <c r="T150" s="7" t="s">
        <v>149</v>
      </c>
    </row>
    <row r="151" spans="1:20" x14ac:dyDescent="0.25">
      <c r="A151" s="7" t="s">
        <v>200</v>
      </c>
      <c r="B151" s="7" t="s">
        <v>151</v>
      </c>
      <c r="C151" s="7" t="s">
        <v>162</v>
      </c>
      <c r="D151" s="7" t="s">
        <v>152</v>
      </c>
      <c r="H151" s="7">
        <v>19</v>
      </c>
      <c r="I151" s="7">
        <v>11</v>
      </c>
      <c r="J151" s="8">
        <f t="shared" si="2"/>
        <v>0.6333333333333333</v>
      </c>
      <c r="K151" s="8" t="s">
        <v>30</v>
      </c>
      <c r="L151" s="8" t="s">
        <v>30</v>
      </c>
      <c r="M151" s="8"/>
      <c r="N151" s="8"/>
      <c r="O151" s="11"/>
      <c r="P151" s="7">
        <v>1</v>
      </c>
      <c r="Q151" s="7">
        <v>3</v>
      </c>
      <c r="T151" s="7" t="s">
        <v>162</v>
      </c>
    </row>
    <row r="152" spans="1:20" x14ac:dyDescent="0.25">
      <c r="A152" s="7" t="s">
        <v>200</v>
      </c>
      <c r="B152" s="7" t="s">
        <v>151</v>
      </c>
      <c r="C152" s="7" t="s">
        <v>192</v>
      </c>
      <c r="D152" s="7" t="s">
        <v>187</v>
      </c>
      <c r="H152" s="7">
        <v>16</v>
      </c>
      <c r="I152" s="7">
        <v>14</v>
      </c>
      <c r="J152" s="8">
        <f t="shared" si="2"/>
        <v>0.53333333333333333</v>
      </c>
      <c r="K152" s="8" t="s">
        <v>30</v>
      </c>
      <c r="L152" s="8" t="s">
        <v>30</v>
      </c>
      <c r="M152" s="8"/>
      <c r="N152" s="8"/>
      <c r="O152" s="11"/>
      <c r="P152" s="7">
        <v>1</v>
      </c>
      <c r="Q152" s="7">
        <v>3</v>
      </c>
      <c r="T152" s="7" t="s">
        <v>192</v>
      </c>
    </row>
    <row r="153" spans="1:20" x14ac:dyDescent="0.25">
      <c r="A153" s="7" t="s">
        <v>200</v>
      </c>
      <c r="B153" s="7" t="s">
        <v>151</v>
      </c>
      <c r="C153" s="7" t="s">
        <v>194</v>
      </c>
      <c r="D153" s="7" t="s">
        <v>154</v>
      </c>
      <c r="H153" s="7">
        <v>16</v>
      </c>
      <c r="I153" s="7">
        <v>14</v>
      </c>
      <c r="J153" s="8">
        <f t="shared" si="2"/>
        <v>0.53333333333333333</v>
      </c>
      <c r="K153" s="8" t="s">
        <v>30</v>
      </c>
      <c r="L153" s="8" t="s">
        <v>30</v>
      </c>
      <c r="M153" s="8"/>
      <c r="N153" s="8"/>
      <c r="O153" s="11"/>
      <c r="P153" s="7">
        <v>1</v>
      </c>
      <c r="Q153" s="7">
        <v>3</v>
      </c>
      <c r="T153" s="7" t="s">
        <v>177</v>
      </c>
    </row>
    <row r="154" spans="1:20" x14ac:dyDescent="0.25">
      <c r="A154" s="7" t="s">
        <v>200</v>
      </c>
      <c r="B154" s="7" t="s">
        <v>151</v>
      </c>
      <c r="C154" s="7" t="s">
        <v>169</v>
      </c>
      <c r="D154" s="7" t="s">
        <v>161</v>
      </c>
      <c r="H154" s="7">
        <v>13</v>
      </c>
      <c r="I154" s="7">
        <v>17</v>
      </c>
      <c r="J154" s="8">
        <f t="shared" si="2"/>
        <v>0.43333333333333335</v>
      </c>
      <c r="K154" s="8"/>
      <c r="L154" s="8"/>
      <c r="M154" s="8"/>
      <c r="N154" s="8"/>
      <c r="O154" s="11"/>
      <c r="T154" s="7" t="s">
        <v>169</v>
      </c>
    </row>
    <row r="155" spans="1:20" x14ac:dyDescent="0.25">
      <c r="A155" s="7" t="s">
        <v>200</v>
      </c>
      <c r="B155" s="7" t="s">
        <v>151</v>
      </c>
      <c r="C155" s="7" t="s">
        <v>201</v>
      </c>
      <c r="D155" s="7" t="s">
        <v>154</v>
      </c>
      <c r="H155" s="7">
        <v>13</v>
      </c>
      <c r="I155" s="7">
        <v>17</v>
      </c>
      <c r="J155" s="8">
        <f t="shared" si="2"/>
        <v>0.43333333333333335</v>
      </c>
      <c r="K155" s="8"/>
      <c r="L155" s="8"/>
      <c r="M155" s="8"/>
      <c r="N155" s="8"/>
      <c r="O155" s="11"/>
      <c r="T155" s="7" t="s">
        <v>201</v>
      </c>
    </row>
    <row r="156" spans="1:20" x14ac:dyDescent="0.25">
      <c r="A156" s="7" t="s">
        <v>200</v>
      </c>
      <c r="B156" s="7" t="s">
        <v>151</v>
      </c>
      <c r="C156" s="7" t="s">
        <v>153</v>
      </c>
      <c r="D156" s="7" t="s">
        <v>154</v>
      </c>
      <c r="H156" s="7">
        <v>12</v>
      </c>
      <c r="I156" s="7">
        <v>18</v>
      </c>
      <c r="J156" s="8">
        <f t="shared" si="2"/>
        <v>0.4</v>
      </c>
      <c r="K156" s="8"/>
      <c r="L156" s="8"/>
      <c r="M156" s="8"/>
      <c r="N156" s="8"/>
      <c r="O156" s="11"/>
      <c r="T156" s="7" t="s">
        <v>153</v>
      </c>
    </row>
    <row r="157" spans="1:20" x14ac:dyDescent="0.25">
      <c r="A157" s="7" t="s">
        <v>200</v>
      </c>
      <c r="B157" s="7" t="s">
        <v>151</v>
      </c>
      <c r="C157" s="7" t="s">
        <v>202</v>
      </c>
      <c r="D157" s="7" t="s">
        <v>173</v>
      </c>
      <c r="H157" s="7">
        <v>11</v>
      </c>
      <c r="I157" s="7">
        <v>19</v>
      </c>
      <c r="J157" s="8">
        <f t="shared" si="2"/>
        <v>0.36666666666666664</v>
      </c>
      <c r="K157" s="8"/>
      <c r="L157" s="8"/>
      <c r="M157" s="8"/>
      <c r="N157" s="8"/>
      <c r="O157" s="11"/>
      <c r="T157" s="7" t="s">
        <v>582</v>
      </c>
    </row>
    <row r="158" spans="1:20" x14ac:dyDescent="0.25">
      <c r="A158" s="7" t="s">
        <v>200</v>
      </c>
      <c r="B158" s="7" t="s">
        <v>151</v>
      </c>
      <c r="C158" s="7" t="s">
        <v>165</v>
      </c>
      <c r="D158" s="7" t="s">
        <v>166</v>
      </c>
      <c r="H158" s="7">
        <v>11</v>
      </c>
      <c r="I158" s="7">
        <v>19</v>
      </c>
      <c r="J158" s="8">
        <f t="shared" si="2"/>
        <v>0.36666666666666664</v>
      </c>
      <c r="K158" s="8"/>
      <c r="L158" s="8"/>
      <c r="M158" s="8"/>
      <c r="N158" s="8"/>
      <c r="O158" s="11"/>
      <c r="T158" s="7" t="s">
        <v>165</v>
      </c>
    </row>
    <row r="159" spans="1:20" x14ac:dyDescent="0.25">
      <c r="A159" s="7" t="s">
        <v>200</v>
      </c>
      <c r="B159" s="7" t="s">
        <v>151</v>
      </c>
      <c r="C159" s="7" t="s">
        <v>581</v>
      </c>
      <c r="D159" s="7" t="s">
        <v>154</v>
      </c>
      <c r="H159" s="7">
        <v>11</v>
      </c>
      <c r="I159" s="7">
        <v>19</v>
      </c>
      <c r="J159" s="8">
        <f t="shared" si="2"/>
        <v>0.36666666666666664</v>
      </c>
      <c r="K159" s="8"/>
      <c r="L159" s="8"/>
      <c r="M159" s="8"/>
      <c r="N159" s="8"/>
      <c r="O159" s="11"/>
      <c r="T159" s="7" t="s">
        <v>581</v>
      </c>
    </row>
    <row r="160" spans="1:20" x14ac:dyDescent="0.25">
      <c r="A160" s="7" t="s">
        <v>200</v>
      </c>
      <c r="B160" s="7" t="s">
        <v>151</v>
      </c>
      <c r="C160" s="7" t="s">
        <v>170</v>
      </c>
      <c r="D160" s="7" t="s">
        <v>171</v>
      </c>
      <c r="H160" s="7">
        <v>10</v>
      </c>
      <c r="I160" s="7">
        <v>20</v>
      </c>
      <c r="J160" s="8">
        <f t="shared" si="2"/>
        <v>0.33333333333333331</v>
      </c>
      <c r="K160" s="8"/>
      <c r="L160" s="8"/>
      <c r="M160" s="8"/>
      <c r="N160" s="8"/>
      <c r="O160" s="11"/>
      <c r="T160" s="7" t="s">
        <v>170</v>
      </c>
    </row>
    <row r="161" spans="1:20" x14ac:dyDescent="0.25">
      <c r="A161" s="7" t="s">
        <v>200</v>
      </c>
      <c r="B161" s="7" t="s">
        <v>151</v>
      </c>
      <c r="C161" s="7" t="s">
        <v>178</v>
      </c>
      <c r="D161" s="7" t="s">
        <v>157</v>
      </c>
      <c r="H161" s="7">
        <v>7</v>
      </c>
      <c r="I161" s="7">
        <v>23</v>
      </c>
      <c r="J161" s="8">
        <f t="shared" si="2"/>
        <v>0.23333333333333334</v>
      </c>
      <c r="K161" s="8"/>
      <c r="L161" s="8"/>
      <c r="M161" s="8"/>
      <c r="N161" s="8"/>
      <c r="O161" s="11"/>
      <c r="T161" s="7" t="s">
        <v>178</v>
      </c>
    </row>
    <row r="162" spans="1:20" x14ac:dyDescent="0.25">
      <c r="A162" s="7" t="s">
        <v>203</v>
      </c>
      <c r="B162" s="7" t="s">
        <v>151</v>
      </c>
      <c r="C162" s="7" t="s">
        <v>155</v>
      </c>
      <c r="D162" s="7" t="s">
        <v>154</v>
      </c>
      <c r="H162" s="7">
        <v>23</v>
      </c>
      <c r="I162" s="7">
        <v>7</v>
      </c>
      <c r="J162" s="8">
        <f t="shared" si="2"/>
        <v>0.76666666666666672</v>
      </c>
      <c r="K162" s="8" t="s">
        <v>30</v>
      </c>
      <c r="L162" s="8" t="s">
        <v>30</v>
      </c>
      <c r="M162" s="8" t="s">
        <v>30</v>
      </c>
      <c r="N162" s="8"/>
      <c r="O162" s="11"/>
      <c r="P162" s="7">
        <v>3</v>
      </c>
      <c r="Q162" s="7">
        <v>1</v>
      </c>
      <c r="R162" s="7">
        <v>0</v>
      </c>
      <c r="S162" s="7">
        <v>2</v>
      </c>
      <c r="T162" s="7" t="s">
        <v>155</v>
      </c>
    </row>
    <row r="163" spans="1:20" x14ac:dyDescent="0.25">
      <c r="A163" s="7" t="s">
        <v>203</v>
      </c>
      <c r="B163" s="7" t="s">
        <v>151</v>
      </c>
      <c r="C163" s="7" t="s">
        <v>188</v>
      </c>
      <c r="D163" s="7" t="s">
        <v>187</v>
      </c>
      <c r="H163" s="7">
        <v>22</v>
      </c>
      <c r="I163" s="7">
        <v>8</v>
      </c>
      <c r="J163" s="8">
        <f t="shared" si="2"/>
        <v>0.73333333333333328</v>
      </c>
      <c r="K163" s="8" t="s">
        <v>30</v>
      </c>
      <c r="L163" s="8" t="s">
        <v>30</v>
      </c>
      <c r="M163" s="8" t="s">
        <v>30</v>
      </c>
      <c r="N163" s="8"/>
      <c r="O163" s="11"/>
      <c r="P163" s="7">
        <v>3</v>
      </c>
      <c r="Q163" s="7">
        <v>0</v>
      </c>
      <c r="R163" s="7">
        <v>1</v>
      </c>
      <c r="S163" s="7">
        <v>1</v>
      </c>
      <c r="T163" s="7" t="s">
        <v>188</v>
      </c>
    </row>
    <row r="164" spans="1:20" x14ac:dyDescent="0.25">
      <c r="A164" s="7" t="s">
        <v>203</v>
      </c>
      <c r="B164" s="7" t="s">
        <v>151</v>
      </c>
      <c r="C164" s="7" t="s">
        <v>149</v>
      </c>
      <c r="D164" s="7" t="s">
        <v>152</v>
      </c>
      <c r="H164" s="7">
        <v>19</v>
      </c>
      <c r="I164" s="7">
        <v>11</v>
      </c>
      <c r="J164" s="8">
        <f t="shared" si="2"/>
        <v>0.6333333333333333</v>
      </c>
      <c r="K164" s="8" t="s">
        <v>30</v>
      </c>
      <c r="L164" s="8" t="s">
        <v>30</v>
      </c>
      <c r="M164" s="8" t="s">
        <v>30</v>
      </c>
      <c r="N164" s="8" t="s">
        <v>30</v>
      </c>
      <c r="O164" s="11"/>
      <c r="P164" s="7">
        <v>3</v>
      </c>
      <c r="Q164" s="7">
        <v>2</v>
      </c>
      <c r="R164" s="7">
        <v>1</v>
      </c>
      <c r="S164" s="7">
        <v>1</v>
      </c>
      <c r="T164" s="7" t="s">
        <v>149</v>
      </c>
    </row>
    <row r="165" spans="1:20" x14ac:dyDescent="0.25">
      <c r="A165" s="7" t="s">
        <v>203</v>
      </c>
      <c r="B165" s="7" t="s">
        <v>151</v>
      </c>
      <c r="C165" s="7" t="s">
        <v>156</v>
      </c>
      <c r="D165" s="7" t="s">
        <v>157</v>
      </c>
      <c r="H165" s="7">
        <v>18</v>
      </c>
      <c r="I165" s="7">
        <v>12</v>
      </c>
      <c r="J165" s="8">
        <f t="shared" si="2"/>
        <v>0.6</v>
      </c>
      <c r="K165" s="8" t="s">
        <v>30</v>
      </c>
      <c r="L165" s="8" t="s">
        <v>30</v>
      </c>
      <c r="M165" s="8" t="s">
        <v>30</v>
      </c>
      <c r="N165" s="8" t="s">
        <v>30</v>
      </c>
      <c r="O165" s="11" t="s">
        <v>30</v>
      </c>
      <c r="P165" s="7">
        <v>3</v>
      </c>
      <c r="Q165" s="7">
        <v>0</v>
      </c>
      <c r="R165" s="7">
        <v>2</v>
      </c>
      <c r="S165" s="7">
        <v>0</v>
      </c>
      <c r="T165" s="7" t="s">
        <v>156</v>
      </c>
    </row>
    <row r="166" spans="1:20" x14ac:dyDescent="0.25">
      <c r="A166" s="7" t="s">
        <v>203</v>
      </c>
      <c r="B166" s="7" t="s">
        <v>151</v>
      </c>
      <c r="C166" s="7" t="s">
        <v>162</v>
      </c>
      <c r="D166" s="7" t="s">
        <v>152</v>
      </c>
      <c r="H166" s="7">
        <v>19</v>
      </c>
      <c r="I166" s="7">
        <v>11</v>
      </c>
      <c r="J166" s="8">
        <f t="shared" si="2"/>
        <v>0.6333333333333333</v>
      </c>
      <c r="K166" s="8" t="s">
        <v>30</v>
      </c>
      <c r="L166" s="8" t="s">
        <v>30</v>
      </c>
      <c r="M166" s="8"/>
      <c r="N166" s="8"/>
      <c r="O166" s="11"/>
      <c r="P166" s="7">
        <v>0</v>
      </c>
      <c r="Q166" s="7">
        <v>3</v>
      </c>
      <c r="T166" s="7" t="s">
        <v>162</v>
      </c>
    </row>
    <row r="167" spans="1:20" x14ac:dyDescent="0.25">
      <c r="A167" s="7" t="s">
        <v>203</v>
      </c>
      <c r="B167" s="7" t="s">
        <v>151</v>
      </c>
      <c r="C167" s="7" t="s">
        <v>178</v>
      </c>
      <c r="D167" s="7" t="s">
        <v>157</v>
      </c>
      <c r="H167" s="7">
        <v>17</v>
      </c>
      <c r="I167" s="7">
        <v>13</v>
      </c>
      <c r="J167" s="8">
        <f t="shared" si="2"/>
        <v>0.56666666666666665</v>
      </c>
      <c r="K167" s="8" t="s">
        <v>30</v>
      </c>
      <c r="L167" s="8" t="s">
        <v>30</v>
      </c>
      <c r="M167" s="8"/>
      <c r="N167" s="8"/>
      <c r="O167" s="11"/>
      <c r="P167" s="7">
        <v>2</v>
      </c>
      <c r="Q167" s="7">
        <v>3</v>
      </c>
      <c r="T167" s="7" t="s">
        <v>178</v>
      </c>
    </row>
    <row r="168" spans="1:20" x14ac:dyDescent="0.25">
      <c r="A168" s="7" t="s">
        <v>203</v>
      </c>
      <c r="B168" s="7" t="s">
        <v>151</v>
      </c>
      <c r="C168" s="7" t="s">
        <v>177</v>
      </c>
      <c r="D168" s="7" t="s">
        <v>154</v>
      </c>
      <c r="H168" s="7">
        <v>17</v>
      </c>
      <c r="I168" s="7">
        <v>13</v>
      </c>
      <c r="J168" s="8">
        <f t="shared" si="2"/>
        <v>0.56666666666666665</v>
      </c>
      <c r="K168" s="8" t="s">
        <v>30</v>
      </c>
      <c r="L168" s="8" t="s">
        <v>30</v>
      </c>
      <c r="M168" s="8"/>
      <c r="N168" s="8"/>
      <c r="O168" s="11"/>
      <c r="P168" s="7">
        <v>0</v>
      </c>
      <c r="Q168" s="7">
        <v>3</v>
      </c>
      <c r="T168" s="7" t="s">
        <v>177</v>
      </c>
    </row>
    <row r="169" spans="1:20" x14ac:dyDescent="0.25">
      <c r="A169" s="7" t="s">
        <v>203</v>
      </c>
      <c r="B169" s="7" t="s">
        <v>151</v>
      </c>
      <c r="C169" s="7" t="s">
        <v>199</v>
      </c>
      <c r="D169" s="7" t="s">
        <v>157</v>
      </c>
      <c r="H169" s="7">
        <v>16</v>
      </c>
      <c r="I169" s="7">
        <v>14</v>
      </c>
      <c r="J169" s="8">
        <f t="shared" si="2"/>
        <v>0.53333333333333333</v>
      </c>
      <c r="K169" s="8" t="s">
        <v>30</v>
      </c>
      <c r="L169" s="8" t="s">
        <v>30</v>
      </c>
      <c r="M169" s="8"/>
      <c r="N169" s="8"/>
      <c r="O169" s="11"/>
      <c r="P169" s="7">
        <v>1</v>
      </c>
      <c r="Q169" s="7">
        <v>3</v>
      </c>
      <c r="T169" s="7" t="s">
        <v>199</v>
      </c>
    </row>
    <row r="170" spans="1:20" x14ac:dyDescent="0.25">
      <c r="A170" s="7" t="s">
        <v>203</v>
      </c>
      <c r="B170" s="7" t="s">
        <v>151</v>
      </c>
      <c r="C170" s="7" t="s">
        <v>165</v>
      </c>
      <c r="D170" s="7" t="s">
        <v>166</v>
      </c>
      <c r="H170" s="7">
        <v>16</v>
      </c>
      <c r="I170" s="7">
        <v>14</v>
      </c>
      <c r="J170" s="8">
        <f t="shared" si="2"/>
        <v>0.53333333333333333</v>
      </c>
      <c r="K170" s="8"/>
      <c r="L170" s="8"/>
      <c r="M170" s="8"/>
      <c r="N170" s="8"/>
      <c r="O170" s="11"/>
      <c r="T170" s="7" t="s">
        <v>165</v>
      </c>
    </row>
    <row r="171" spans="1:20" x14ac:dyDescent="0.25">
      <c r="A171" s="7" t="s">
        <v>203</v>
      </c>
      <c r="B171" s="7" t="s">
        <v>151</v>
      </c>
      <c r="C171" s="7" t="s">
        <v>158</v>
      </c>
      <c r="D171" s="7" t="s">
        <v>159</v>
      </c>
      <c r="H171" s="7">
        <v>14</v>
      </c>
      <c r="I171" s="7">
        <v>16</v>
      </c>
      <c r="J171" s="8">
        <f t="shared" si="2"/>
        <v>0.46666666666666667</v>
      </c>
      <c r="K171" s="8"/>
      <c r="L171" s="8"/>
      <c r="M171" s="8"/>
      <c r="N171" s="8"/>
      <c r="O171" s="11"/>
      <c r="T171" s="7" t="s">
        <v>158</v>
      </c>
    </row>
    <row r="172" spans="1:20" x14ac:dyDescent="0.25">
      <c r="A172" s="7" t="s">
        <v>203</v>
      </c>
      <c r="B172" s="7" t="s">
        <v>151</v>
      </c>
      <c r="C172" s="7" t="s">
        <v>581</v>
      </c>
      <c r="D172" s="7" t="s">
        <v>154</v>
      </c>
      <c r="H172" s="7">
        <v>12</v>
      </c>
      <c r="I172" s="7">
        <v>18</v>
      </c>
      <c r="J172" s="8">
        <f t="shared" si="2"/>
        <v>0.4</v>
      </c>
      <c r="K172" s="8"/>
      <c r="L172" s="8"/>
      <c r="M172" s="8"/>
      <c r="N172" s="8"/>
      <c r="O172" s="11"/>
      <c r="T172" s="7" t="s">
        <v>581</v>
      </c>
    </row>
    <row r="173" spans="1:20" x14ac:dyDescent="0.25">
      <c r="A173" s="7" t="s">
        <v>203</v>
      </c>
      <c r="B173" s="7" t="s">
        <v>151</v>
      </c>
      <c r="C173" s="7" t="s">
        <v>205</v>
      </c>
      <c r="D173" s="7" t="s">
        <v>157</v>
      </c>
      <c r="H173" s="7">
        <v>11</v>
      </c>
      <c r="I173" s="7">
        <v>19</v>
      </c>
      <c r="J173" s="8">
        <f t="shared" si="2"/>
        <v>0.36666666666666664</v>
      </c>
      <c r="K173" s="8"/>
      <c r="L173" s="8"/>
      <c r="M173" s="8"/>
      <c r="N173" s="8"/>
      <c r="O173" s="11"/>
      <c r="T173" s="7" t="s">
        <v>204</v>
      </c>
    </row>
    <row r="174" spans="1:20" x14ac:dyDescent="0.25">
      <c r="A174" s="7" t="s">
        <v>203</v>
      </c>
      <c r="B174" s="7" t="s">
        <v>151</v>
      </c>
      <c r="C174" s="7" t="s">
        <v>202</v>
      </c>
      <c r="D174" s="7" t="s">
        <v>173</v>
      </c>
      <c r="H174" s="7">
        <v>10</v>
      </c>
      <c r="I174" s="7">
        <v>20</v>
      </c>
      <c r="J174" s="8">
        <f t="shared" si="2"/>
        <v>0.33333333333333331</v>
      </c>
      <c r="K174" s="8"/>
      <c r="L174" s="8"/>
      <c r="M174" s="8"/>
      <c r="N174" s="8"/>
      <c r="O174" s="11"/>
      <c r="T174" s="7" t="s">
        <v>582</v>
      </c>
    </row>
    <row r="175" spans="1:20" x14ac:dyDescent="0.25">
      <c r="A175" s="7" t="s">
        <v>203</v>
      </c>
      <c r="B175" s="7" t="s">
        <v>151</v>
      </c>
      <c r="C175" s="7" t="s">
        <v>169</v>
      </c>
      <c r="D175" s="7" t="s">
        <v>161</v>
      </c>
      <c r="H175" s="7">
        <v>10</v>
      </c>
      <c r="I175" s="7">
        <v>20</v>
      </c>
      <c r="J175" s="8">
        <f t="shared" si="2"/>
        <v>0.33333333333333331</v>
      </c>
      <c r="K175" s="8"/>
      <c r="L175" s="8"/>
      <c r="M175" s="8"/>
      <c r="N175" s="8"/>
      <c r="O175" s="11"/>
      <c r="T175" s="7" t="s">
        <v>169</v>
      </c>
    </row>
    <row r="176" spans="1:20" x14ac:dyDescent="0.25">
      <c r="A176" s="7" t="s">
        <v>203</v>
      </c>
      <c r="B176" s="7" t="s">
        <v>151</v>
      </c>
      <c r="C176" s="7" t="s">
        <v>170</v>
      </c>
      <c r="D176" s="7" t="s">
        <v>171</v>
      </c>
      <c r="H176" s="7">
        <v>8</v>
      </c>
      <c r="I176" s="7">
        <v>22</v>
      </c>
      <c r="J176" s="8">
        <f t="shared" si="2"/>
        <v>0.26666666666666666</v>
      </c>
      <c r="K176" s="8"/>
      <c r="L176" s="8"/>
      <c r="M176" s="8"/>
      <c r="N176" s="8"/>
      <c r="O176" s="11"/>
      <c r="T176" s="7" t="s">
        <v>170</v>
      </c>
    </row>
    <row r="177" spans="1:20" x14ac:dyDescent="0.25">
      <c r="A177" s="7" t="s">
        <v>203</v>
      </c>
      <c r="B177" s="7" t="s">
        <v>151</v>
      </c>
      <c r="C177" s="7" t="s">
        <v>189</v>
      </c>
      <c r="D177" s="7" t="s">
        <v>187</v>
      </c>
      <c r="H177" s="7">
        <v>8</v>
      </c>
      <c r="I177" s="7">
        <v>22</v>
      </c>
      <c r="J177" s="8">
        <f t="shared" si="2"/>
        <v>0.26666666666666666</v>
      </c>
      <c r="K177" s="8"/>
      <c r="L177" s="8"/>
      <c r="M177" s="8"/>
      <c r="N177" s="8"/>
      <c r="O177" s="11"/>
      <c r="T177" s="7" t="s">
        <v>189</v>
      </c>
    </row>
    <row r="178" spans="1:20" x14ac:dyDescent="0.25">
      <c r="A178" s="7" t="s">
        <v>206</v>
      </c>
      <c r="B178" s="7" t="s">
        <v>151</v>
      </c>
      <c r="C178" s="7" t="s">
        <v>188</v>
      </c>
      <c r="D178" s="7" t="s">
        <v>187</v>
      </c>
      <c r="E178" s="7" t="s">
        <v>207</v>
      </c>
      <c r="H178" s="7">
        <v>9</v>
      </c>
      <c r="I178" s="7">
        <v>1</v>
      </c>
      <c r="J178" s="8">
        <f t="shared" si="2"/>
        <v>0.9</v>
      </c>
      <c r="K178" s="8" t="s">
        <v>30</v>
      </c>
      <c r="L178" s="8" t="s">
        <v>30</v>
      </c>
      <c r="M178" s="8" t="s">
        <v>30</v>
      </c>
      <c r="N178" s="8" t="s">
        <v>30</v>
      </c>
      <c r="O178" s="11" t="s">
        <v>30</v>
      </c>
      <c r="P178" s="7">
        <v>10</v>
      </c>
      <c r="Q178" s="7">
        <v>4</v>
      </c>
      <c r="R178" s="7">
        <v>3</v>
      </c>
      <c r="S178" s="7">
        <v>0</v>
      </c>
      <c r="T178" s="7" t="s">
        <v>188</v>
      </c>
    </row>
    <row r="179" spans="1:20" x14ac:dyDescent="0.25">
      <c r="A179" s="7" t="s">
        <v>206</v>
      </c>
      <c r="B179" s="7" t="s">
        <v>151</v>
      </c>
      <c r="C179" s="7" t="s">
        <v>156</v>
      </c>
      <c r="D179" s="7" t="s">
        <v>157</v>
      </c>
      <c r="E179" s="7" t="s">
        <v>208</v>
      </c>
      <c r="H179" s="7">
        <v>8</v>
      </c>
      <c r="I179" s="7">
        <v>2</v>
      </c>
      <c r="J179" s="8">
        <f t="shared" si="2"/>
        <v>0.8</v>
      </c>
      <c r="K179" s="8" t="s">
        <v>30</v>
      </c>
      <c r="L179" s="8" t="s">
        <v>30</v>
      </c>
      <c r="M179" s="8" t="s">
        <v>30</v>
      </c>
      <c r="N179" s="8" t="s">
        <v>30</v>
      </c>
      <c r="O179" s="11"/>
      <c r="P179" s="7">
        <v>11</v>
      </c>
      <c r="Q179" s="7">
        <v>3</v>
      </c>
      <c r="R179" s="7">
        <v>3</v>
      </c>
      <c r="S179" s="7">
        <v>0</v>
      </c>
      <c r="T179" s="7" t="s">
        <v>156</v>
      </c>
    </row>
    <row r="180" spans="1:20" x14ac:dyDescent="0.25">
      <c r="A180" s="7" t="s">
        <v>206</v>
      </c>
      <c r="B180" s="7" t="s">
        <v>151</v>
      </c>
      <c r="C180" s="7" t="s">
        <v>209</v>
      </c>
      <c r="D180" s="7" t="s">
        <v>187</v>
      </c>
      <c r="E180" s="7" t="s">
        <v>210</v>
      </c>
      <c r="H180" s="7">
        <v>8</v>
      </c>
      <c r="I180" s="7">
        <v>2</v>
      </c>
      <c r="J180" s="8">
        <f t="shared" si="2"/>
        <v>0.8</v>
      </c>
      <c r="K180" s="8" t="s">
        <v>30</v>
      </c>
      <c r="L180" s="8" t="s">
        <v>30</v>
      </c>
      <c r="M180" s="8" t="s">
        <v>30</v>
      </c>
      <c r="N180" s="8"/>
      <c r="O180" s="11"/>
      <c r="P180" s="7">
        <v>9</v>
      </c>
      <c r="Q180" s="7">
        <v>5</v>
      </c>
      <c r="R180" s="7">
        <v>3</v>
      </c>
      <c r="S180" s="7">
        <v>2</v>
      </c>
      <c r="T180" s="7" t="s">
        <v>209</v>
      </c>
    </row>
    <row r="181" spans="1:20" x14ac:dyDescent="0.25">
      <c r="A181" s="7" t="s">
        <v>206</v>
      </c>
      <c r="B181" s="7" t="s">
        <v>151</v>
      </c>
      <c r="C181" s="7" t="s">
        <v>211</v>
      </c>
      <c r="D181" s="7" t="s">
        <v>154</v>
      </c>
      <c r="E181" s="7" t="s">
        <v>212</v>
      </c>
      <c r="H181" s="7">
        <v>6</v>
      </c>
      <c r="I181" s="7">
        <v>4</v>
      </c>
      <c r="J181" s="8">
        <f t="shared" si="2"/>
        <v>0.6</v>
      </c>
      <c r="K181" s="8" t="s">
        <v>30</v>
      </c>
      <c r="L181" s="8" t="s">
        <v>30</v>
      </c>
      <c r="M181" s="8" t="s">
        <v>30</v>
      </c>
      <c r="N181" s="8"/>
      <c r="O181" s="11"/>
      <c r="P181" s="7">
        <v>9</v>
      </c>
      <c r="Q181" s="7">
        <v>5</v>
      </c>
      <c r="R181" s="7">
        <v>3</v>
      </c>
      <c r="S181" s="7">
        <v>0</v>
      </c>
      <c r="T181" s="7" t="s">
        <v>177</v>
      </c>
    </row>
    <row r="182" spans="1:20" x14ac:dyDescent="0.25">
      <c r="A182" s="7" t="s">
        <v>206</v>
      </c>
      <c r="B182" s="7" t="s">
        <v>151</v>
      </c>
      <c r="C182" s="7" t="s">
        <v>149</v>
      </c>
      <c r="D182" s="7" t="s">
        <v>152</v>
      </c>
      <c r="E182" s="7" t="s">
        <v>212</v>
      </c>
      <c r="H182" s="7">
        <v>8</v>
      </c>
      <c r="I182" s="7">
        <v>2</v>
      </c>
      <c r="J182" s="8">
        <f t="shared" si="2"/>
        <v>0.8</v>
      </c>
      <c r="K182" s="8" t="s">
        <v>30</v>
      </c>
      <c r="L182" s="8"/>
      <c r="M182" s="8"/>
      <c r="N182" s="8"/>
      <c r="O182" s="11"/>
      <c r="P182" s="7">
        <v>6</v>
      </c>
      <c r="Q182" s="7">
        <v>8</v>
      </c>
      <c r="T182" s="7" t="s">
        <v>149</v>
      </c>
    </row>
    <row r="183" spans="1:20" x14ac:dyDescent="0.25">
      <c r="A183" s="7" t="s">
        <v>206</v>
      </c>
      <c r="B183" s="7" t="s">
        <v>151</v>
      </c>
      <c r="C183" s="7" t="s">
        <v>201</v>
      </c>
      <c r="D183" s="7" t="s">
        <v>154</v>
      </c>
      <c r="E183" s="7" t="s">
        <v>207</v>
      </c>
      <c r="H183" s="7">
        <v>7</v>
      </c>
      <c r="I183" s="7">
        <v>3</v>
      </c>
      <c r="J183" s="8">
        <f t="shared" si="2"/>
        <v>0.7</v>
      </c>
      <c r="K183" s="8" t="s">
        <v>30</v>
      </c>
      <c r="L183" s="8"/>
      <c r="M183" s="8"/>
      <c r="N183" s="8"/>
      <c r="O183" s="11"/>
      <c r="P183" s="7">
        <v>4</v>
      </c>
      <c r="Q183" s="7">
        <v>10</v>
      </c>
      <c r="T183" s="7" t="s">
        <v>201</v>
      </c>
    </row>
    <row r="184" spans="1:20" x14ac:dyDescent="0.25">
      <c r="A184" s="7" t="s">
        <v>206</v>
      </c>
      <c r="B184" s="7" t="s">
        <v>151</v>
      </c>
      <c r="C184" s="7" t="s">
        <v>162</v>
      </c>
      <c r="D184" s="7" t="s">
        <v>152</v>
      </c>
      <c r="E184" s="7" t="s">
        <v>210</v>
      </c>
      <c r="H184" s="7">
        <v>6</v>
      </c>
      <c r="I184" s="7">
        <v>4</v>
      </c>
      <c r="J184" s="8">
        <f t="shared" si="2"/>
        <v>0.6</v>
      </c>
      <c r="K184" s="8" t="s">
        <v>30</v>
      </c>
      <c r="L184" s="8" t="s">
        <v>30</v>
      </c>
      <c r="M184" s="8"/>
      <c r="N184" s="8"/>
      <c r="O184" s="11"/>
      <c r="P184" s="7">
        <v>9</v>
      </c>
      <c r="Q184" s="7">
        <v>5</v>
      </c>
      <c r="R184" s="7">
        <v>0</v>
      </c>
      <c r="S184" s="7">
        <v>3</v>
      </c>
      <c r="T184" s="7" t="s">
        <v>162</v>
      </c>
    </row>
    <row r="185" spans="1:20" x14ac:dyDescent="0.25">
      <c r="A185" s="7" t="s">
        <v>206</v>
      </c>
      <c r="B185" s="7" t="s">
        <v>151</v>
      </c>
      <c r="C185" s="7" t="s">
        <v>581</v>
      </c>
      <c r="D185" s="7" t="s">
        <v>154</v>
      </c>
      <c r="E185" s="7" t="s">
        <v>210</v>
      </c>
      <c r="H185" s="7">
        <v>6</v>
      </c>
      <c r="I185" s="7">
        <v>4</v>
      </c>
      <c r="J185" s="8">
        <f t="shared" si="2"/>
        <v>0.6</v>
      </c>
      <c r="K185" s="8" t="s">
        <v>30</v>
      </c>
      <c r="L185" s="8" t="s">
        <v>30</v>
      </c>
      <c r="M185" s="8"/>
      <c r="N185" s="8"/>
      <c r="O185" s="11"/>
      <c r="P185" s="7">
        <v>8</v>
      </c>
      <c r="Q185" s="7">
        <v>6</v>
      </c>
      <c r="R185" s="7">
        <v>2</v>
      </c>
      <c r="S185" s="7">
        <v>3</v>
      </c>
      <c r="T185" s="7" t="s">
        <v>581</v>
      </c>
    </row>
    <row r="186" spans="1:20" x14ac:dyDescent="0.25">
      <c r="A186" s="7" t="s">
        <v>206</v>
      </c>
      <c r="B186" s="7" t="s">
        <v>151</v>
      </c>
      <c r="C186" s="7" t="s">
        <v>213</v>
      </c>
      <c r="D186" s="7" t="s">
        <v>173</v>
      </c>
      <c r="E186" s="7" t="s">
        <v>207</v>
      </c>
      <c r="H186" s="7">
        <v>6</v>
      </c>
      <c r="I186" s="7">
        <v>4</v>
      </c>
      <c r="J186" s="8">
        <f t="shared" si="2"/>
        <v>0.6</v>
      </c>
      <c r="K186" s="8" t="s">
        <v>30</v>
      </c>
      <c r="L186" s="8"/>
      <c r="M186" s="8"/>
      <c r="N186" s="8"/>
      <c r="O186" s="11"/>
      <c r="P186" s="7">
        <v>7</v>
      </c>
      <c r="Q186" s="7">
        <v>7</v>
      </c>
      <c r="T186" s="7" t="s">
        <v>582</v>
      </c>
    </row>
    <row r="187" spans="1:20" x14ac:dyDescent="0.25">
      <c r="A187" s="7" t="s">
        <v>206</v>
      </c>
      <c r="B187" s="7" t="s">
        <v>151</v>
      </c>
      <c r="C187" s="7" t="s">
        <v>178</v>
      </c>
      <c r="D187" s="7" t="s">
        <v>157</v>
      </c>
      <c r="E187" s="7" t="s">
        <v>212</v>
      </c>
      <c r="H187" s="7">
        <v>6</v>
      </c>
      <c r="I187" s="7">
        <v>4</v>
      </c>
      <c r="J187" s="8">
        <f t="shared" si="2"/>
        <v>0.6</v>
      </c>
      <c r="K187" s="8" t="s">
        <v>30</v>
      </c>
      <c r="L187" s="8"/>
      <c r="M187" s="8"/>
      <c r="N187" s="8"/>
      <c r="O187" s="11"/>
      <c r="P187" s="7">
        <v>7</v>
      </c>
      <c r="Q187" s="7">
        <v>7</v>
      </c>
      <c r="T187" s="7" t="s">
        <v>178</v>
      </c>
    </row>
    <row r="188" spans="1:20" x14ac:dyDescent="0.25">
      <c r="A188" s="7" t="s">
        <v>206</v>
      </c>
      <c r="B188" s="7" t="s">
        <v>151</v>
      </c>
      <c r="C188" s="7" t="s">
        <v>165</v>
      </c>
      <c r="D188" s="7" t="s">
        <v>166</v>
      </c>
      <c r="E188" s="7" t="s">
        <v>208</v>
      </c>
      <c r="H188" s="7">
        <v>5</v>
      </c>
      <c r="I188" s="7">
        <v>5</v>
      </c>
      <c r="J188" s="8">
        <f t="shared" si="2"/>
        <v>0.5</v>
      </c>
      <c r="K188" s="8" t="s">
        <v>30</v>
      </c>
      <c r="L188" s="8" t="s">
        <v>30</v>
      </c>
      <c r="M188" s="8"/>
      <c r="N188" s="8"/>
      <c r="O188" s="11"/>
      <c r="P188" s="7">
        <v>7</v>
      </c>
      <c r="Q188" s="7">
        <v>7</v>
      </c>
      <c r="R188" s="7">
        <v>0</v>
      </c>
      <c r="S188" s="7">
        <v>3</v>
      </c>
      <c r="T188" s="7" t="s">
        <v>165</v>
      </c>
    </row>
    <row r="189" spans="1:20" x14ac:dyDescent="0.25">
      <c r="A189" s="7" t="s">
        <v>206</v>
      </c>
      <c r="B189" s="7" t="s">
        <v>151</v>
      </c>
      <c r="C189" s="7" t="s">
        <v>155</v>
      </c>
      <c r="D189" s="7" t="s">
        <v>154</v>
      </c>
      <c r="E189" s="7" t="s">
        <v>208</v>
      </c>
      <c r="H189" s="7">
        <v>5</v>
      </c>
      <c r="I189" s="7">
        <v>5</v>
      </c>
      <c r="J189" s="8">
        <f t="shared" si="2"/>
        <v>0.5</v>
      </c>
      <c r="K189" s="8" t="s">
        <v>30</v>
      </c>
      <c r="L189" s="8" t="s">
        <v>30</v>
      </c>
      <c r="M189" s="8"/>
      <c r="N189" s="8"/>
      <c r="O189" s="11"/>
      <c r="P189" s="7">
        <v>7</v>
      </c>
      <c r="Q189" s="7">
        <v>7</v>
      </c>
      <c r="R189" s="7">
        <v>0</v>
      </c>
      <c r="S189" s="7">
        <v>3</v>
      </c>
      <c r="T189" s="7" t="s">
        <v>155</v>
      </c>
    </row>
    <row r="190" spans="1:20" x14ac:dyDescent="0.25">
      <c r="A190" s="7" t="s">
        <v>206</v>
      </c>
      <c r="B190" s="7" t="s">
        <v>151</v>
      </c>
      <c r="C190" s="7" t="s">
        <v>192</v>
      </c>
      <c r="D190" s="7" t="s">
        <v>187</v>
      </c>
      <c r="E190" s="7" t="s">
        <v>208</v>
      </c>
      <c r="H190" s="7">
        <v>5</v>
      </c>
      <c r="I190" s="7">
        <v>5</v>
      </c>
      <c r="J190" s="8">
        <f t="shared" si="2"/>
        <v>0.5</v>
      </c>
      <c r="K190" s="8" t="s">
        <v>30</v>
      </c>
      <c r="L190" s="8"/>
      <c r="M190" s="8"/>
      <c r="N190" s="8"/>
      <c r="O190" s="11"/>
      <c r="P190" s="7">
        <v>7</v>
      </c>
      <c r="Q190" s="7">
        <v>7</v>
      </c>
      <c r="T190" s="7" t="s">
        <v>192</v>
      </c>
    </row>
    <row r="191" spans="1:20" x14ac:dyDescent="0.25">
      <c r="A191" s="7" t="s">
        <v>206</v>
      </c>
      <c r="B191" s="7" t="s">
        <v>151</v>
      </c>
      <c r="C191" s="7" t="s">
        <v>158</v>
      </c>
      <c r="D191" s="7" t="s">
        <v>159</v>
      </c>
      <c r="E191" s="7" t="s">
        <v>210</v>
      </c>
      <c r="H191" s="7">
        <v>5</v>
      </c>
      <c r="I191" s="7">
        <v>5</v>
      </c>
      <c r="J191" s="8">
        <f t="shared" si="2"/>
        <v>0.5</v>
      </c>
      <c r="K191" s="8" t="s">
        <v>30</v>
      </c>
      <c r="L191" s="8"/>
      <c r="M191" s="8"/>
      <c r="N191" s="8"/>
      <c r="O191" s="11"/>
      <c r="P191" s="7">
        <v>2</v>
      </c>
      <c r="Q191" s="7">
        <v>12</v>
      </c>
      <c r="T191" s="7" t="s">
        <v>158</v>
      </c>
    </row>
    <row r="192" spans="1:20" x14ac:dyDescent="0.25">
      <c r="A192" s="7" t="s">
        <v>206</v>
      </c>
      <c r="B192" s="7" t="s">
        <v>151</v>
      </c>
      <c r="C192" s="7" t="s">
        <v>199</v>
      </c>
      <c r="D192" s="7" t="s">
        <v>157</v>
      </c>
      <c r="E192" s="7" t="s">
        <v>207</v>
      </c>
      <c r="H192" s="7">
        <v>4</v>
      </c>
      <c r="I192" s="7">
        <v>6</v>
      </c>
      <c r="J192" s="8">
        <f t="shared" si="2"/>
        <v>0.4</v>
      </c>
      <c r="K192" s="8" t="s">
        <v>30</v>
      </c>
      <c r="L192" s="8"/>
      <c r="M192" s="8"/>
      <c r="N192" s="8"/>
      <c r="O192" s="11"/>
      <c r="P192" s="7">
        <v>5</v>
      </c>
      <c r="Q192" s="7">
        <v>9</v>
      </c>
      <c r="T192" s="7" t="s">
        <v>199</v>
      </c>
    </row>
    <row r="193" spans="1:20" x14ac:dyDescent="0.25">
      <c r="A193" s="7" t="s">
        <v>206</v>
      </c>
      <c r="B193" s="7" t="s">
        <v>151</v>
      </c>
      <c r="C193" s="7" t="s">
        <v>583</v>
      </c>
      <c r="D193" s="7" t="s">
        <v>215</v>
      </c>
      <c r="E193" s="7" t="s">
        <v>212</v>
      </c>
      <c r="H193" s="7">
        <v>4</v>
      </c>
      <c r="I193" s="7">
        <v>6</v>
      </c>
      <c r="J193" s="8">
        <f t="shared" si="2"/>
        <v>0.4</v>
      </c>
      <c r="K193" s="8" t="s">
        <v>30</v>
      </c>
      <c r="L193" s="8"/>
      <c r="M193" s="8"/>
      <c r="N193" s="8"/>
      <c r="O193" s="11"/>
      <c r="P193" s="7">
        <v>4</v>
      </c>
      <c r="Q193" s="7">
        <v>10</v>
      </c>
      <c r="T193" s="7" t="s">
        <v>214</v>
      </c>
    </row>
    <row r="194" spans="1:20" x14ac:dyDescent="0.25">
      <c r="A194" s="7" t="s">
        <v>206</v>
      </c>
      <c r="B194" s="7" t="s">
        <v>151</v>
      </c>
      <c r="C194" s="7" t="s">
        <v>172</v>
      </c>
      <c r="D194" s="7" t="s">
        <v>173</v>
      </c>
      <c r="E194" s="7" t="s">
        <v>208</v>
      </c>
      <c r="H194" s="7">
        <v>4</v>
      </c>
      <c r="I194" s="7">
        <v>6</v>
      </c>
      <c r="J194" s="8">
        <f t="shared" ref="J194:J257" si="3">H194/SUM(H194:I194)</f>
        <v>0.4</v>
      </c>
      <c r="K194" s="8"/>
      <c r="L194" s="8"/>
      <c r="M194" s="8"/>
      <c r="N194" s="8"/>
      <c r="O194" s="11"/>
      <c r="T194" s="7" t="s">
        <v>172</v>
      </c>
    </row>
    <row r="195" spans="1:20" x14ac:dyDescent="0.25">
      <c r="A195" s="7" t="s">
        <v>206</v>
      </c>
      <c r="B195" s="7" t="s">
        <v>151</v>
      </c>
      <c r="C195" s="7" t="s">
        <v>169</v>
      </c>
      <c r="D195" s="7" t="s">
        <v>161</v>
      </c>
      <c r="E195" s="7" t="s">
        <v>207</v>
      </c>
      <c r="H195" s="7">
        <v>4</v>
      </c>
      <c r="I195" s="7">
        <v>6</v>
      </c>
      <c r="J195" s="8">
        <f t="shared" si="3"/>
        <v>0.4</v>
      </c>
      <c r="K195" s="8"/>
      <c r="L195" s="8"/>
      <c r="M195" s="8"/>
      <c r="N195" s="8"/>
      <c r="O195" s="11"/>
      <c r="T195" s="7" t="s">
        <v>169</v>
      </c>
    </row>
    <row r="196" spans="1:20" x14ac:dyDescent="0.25">
      <c r="A196" s="7" t="s">
        <v>206</v>
      </c>
      <c r="B196" s="7" t="s">
        <v>151</v>
      </c>
      <c r="C196" s="7" t="s">
        <v>216</v>
      </c>
      <c r="D196" s="7" t="s">
        <v>164</v>
      </c>
      <c r="E196" s="7" t="s">
        <v>212</v>
      </c>
      <c r="H196" s="7">
        <v>3</v>
      </c>
      <c r="I196" s="7">
        <v>7</v>
      </c>
      <c r="J196" s="8">
        <f t="shared" si="3"/>
        <v>0.3</v>
      </c>
      <c r="K196" s="8"/>
      <c r="L196" s="8"/>
      <c r="M196" s="8"/>
      <c r="N196" s="8"/>
      <c r="O196" s="11"/>
      <c r="T196" s="7" t="s">
        <v>216</v>
      </c>
    </row>
    <row r="197" spans="1:20" x14ac:dyDescent="0.25">
      <c r="A197" s="7" t="s">
        <v>206</v>
      </c>
      <c r="B197" s="7" t="s">
        <v>151</v>
      </c>
      <c r="C197" s="7" t="s">
        <v>217</v>
      </c>
      <c r="D197" s="7" t="s">
        <v>164</v>
      </c>
      <c r="E197" s="7" t="s">
        <v>208</v>
      </c>
      <c r="H197" s="7">
        <v>3</v>
      </c>
      <c r="I197" s="7">
        <v>7</v>
      </c>
      <c r="J197" s="8">
        <f t="shared" si="3"/>
        <v>0.3</v>
      </c>
      <c r="K197" s="8"/>
      <c r="L197" s="8"/>
      <c r="M197" s="8"/>
      <c r="N197" s="8"/>
      <c r="O197" s="11"/>
      <c r="T197" s="7" t="s">
        <v>217</v>
      </c>
    </row>
    <row r="198" spans="1:20" x14ac:dyDescent="0.25">
      <c r="A198" s="7" t="s">
        <v>206</v>
      </c>
      <c r="B198" s="7" t="s">
        <v>151</v>
      </c>
      <c r="C198" s="7" t="s">
        <v>170</v>
      </c>
      <c r="D198" s="7" t="s">
        <v>171</v>
      </c>
      <c r="E198" s="7" t="s">
        <v>212</v>
      </c>
      <c r="H198" s="7">
        <v>3</v>
      </c>
      <c r="I198" s="7">
        <v>7</v>
      </c>
      <c r="J198" s="8">
        <f t="shared" si="3"/>
        <v>0.3</v>
      </c>
      <c r="K198" s="8"/>
      <c r="L198" s="8"/>
      <c r="M198" s="8"/>
      <c r="N198" s="8"/>
      <c r="O198" s="11"/>
      <c r="T198" s="7" t="s">
        <v>170</v>
      </c>
    </row>
    <row r="199" spans="1:20" x14ac:dyDescent="0.25">
      <c r="A199" s="7" t="s">
        <v>206</v>
      </c>
      <c r="B199" s="7" t="s">
        <v>151</v>
      </c>
      <c r="C199" s="7" t="s">
        <v>218</v>
      </c>
      <c r="D199" s="7" t="s">
        <v>157</v>
      </c>
      <c r="E199" s="7" t="s">
        <v>210</v>
      </c>
      <c r="H199" s="7">
        <v>3</v>
      </c>
      <c r="I199" s="7">
        <v>7</v>
      </c>
      <c r="J199" s="8">
        <f t="shared" si="3"/>
        <v>0.3</v>
      </c>
      <c r="K199" s="8"/>
      <c r="L199" s="8"/>
      <c r="M199" s="8"/>
      <c r="N199" s="8"/>
      <c r="O199" s="11"/>
      <c r="T199" s="7" t="s">
        <v>218</v>
      </c>
    </row>
    <row r="200" spans="1:20" x14ac:dyDescent="0.25">
      <c r="A200" s="7" t="s">
        <v>206</v>
      </c>
      <c r="B200" s="7" t="s">
        <v>151</v>
      </c>
      <c r="C200" s="7" t="s">
        <v>219</v>
      </c>
      <c r="D200" s="7" t="s">
        <v>220</v>
      </c>
      <c r="E200" s="7" t="s">
        <v>210</v>
      </c>
      <c r="H200" s="7">
        <v>2</v>
      </c>
      <c r="I200" s="7">
        <v>8</v>
      </c>
      <c r="J200" s="8">
        <f t="shared" si="3"/>
        <v>0.2</v>
      </c>
      <c r="K200" s="8"/>
      <c r="L200" s="8"/>
      <c r="M200" s="8"/>
      <c r="N200" s="8"/>
      <c r="O200" s="11"/>
      <c r="T200" s="7" t="s">
        <v>219</v>
      </c>
    </row>
    <row r="201" spans="1:20" x14ac:dyDescent="0.25">
      <c r="A201" s="7" t="s">
        <v>206</v>
      </c>
      <c r="B201" s="7" t="s">
        <v>151</v>
      </c>
      <c r="C201" s="7" t="s">
        <v>221</v>
      </c>
      <c r="D201" s="7" t="s">
        <v>171</v>
      </c>
      <c r="E201" s="7" t="s">
        <v>207</v>
      </c>
      <c r="H201" s="7">
        <v>0</v>
      </c>
      <c r="I201" s="7">
        <v>10</v>
      </c>
      <c r="J201" s="8">
        <f t="shared" si="3"/>
        <v>0</v>
      </c>
      <c r="K201" s="8"/>
      <c r="L201" s="8"/>
      <c r="M201" s="8"/>
      <c r="N201" s="8"/>
      <c r="O201" s="11"/>
      <c r="T201" s="7" t="s">
        <v>221</v>
      </c>
    </row>
    <row r="202" spans="1:20" x14ac:dyDescent="0.25">
      <c r="A202" s="7" t="s">
        <v>222</v>
      </c>
      <c r="B202" s="7" t="s">
        <v>151</v>
      </c>
      <c r="C202" s="7" t="s">
        <v>188</v>
      </c>
      <c r="D202" s="7" t="s">
        <v>187</v>
      </c>
      <c r="H202" s="7">
        <v>10</v>
      </c>
      <c r="I202" s="7">
        <v>0</v>
      </c>
      <c r="J202" s="8">
        <f t="shared" si="3"/>
        <v>1</v>
      </c>
      <c r="K202" s="8" t="s">
        <v>30</v>
      </c>
      <c r="L202" s="8" t="s">
        <v>30</v>
      </c>
      <c r="M202" s="8" t="s">
        <v>30</v>
      </c>
      <c r="N202" s="8"/>
      <c r="O202" s="11"/>
      <c r="P202" s="7">
        <v>12</v>
      </c>
      <c r="Q202" s="7">
        <v>2</v>
      </c>
      <c r="R202" s="7">
        <v>3</v>
      </c>
      <c r="S202" s="7">
        <v>1</v>
      </c>
      <c r="T202" s="7" t="s">
        <v>188</v>
      </c>
    </row>
    <row r="203" spans="1:20" x14ac:dyDescent="0.25">
      <c r="A203" s="7" t="s">
        <v>222</v>
      </c>
      <c r="B203" s="7" t="s">
        <v>151</v>
      </c>
      <c r="C203" s="7" t="s">
        <v>155</v>
      </c>
      <c r="D203" s="7" t="s">
        <v>154</v>
      </c>
      <c r="H203" s="7">
        <v>8</v>
      </c>
      <c r="I203" s="7">
        <v>2</v>
      </c>
      <c r="J203" s="8">
        <f t="shared" si="3"/>
        <v>0.8</v>
      </c>
      <c r="K203" s="8" t="s">
        <v>30</v>
      </c>
      <c r="L203" s="8" t="s">
        <v>30</v>
      </c>
      <c r="M203" s="8" t="s">
        <v>30</v>
      </c>
      <c r="N203" s="8" t="s">
        <v>30</v>
      </c>
      <c r="O203" s="11" t="s">
        <v>30</v>
      </c>
      <c r="P203" s="7">
        <v>11</v>
      </c>
      <c r="Q203" s="7">
        <v>3</v>
      </c>
      <c r="R203" s="7">
        <v>3</v>
      </c>
      <c r="S203" s="7">
        <v>1</v>
      </c>
      <c r="T203" s="7" t="s">
        <v>155</v>
      </c>
    </row>
    <row r="204" spans="1:20" x14ac:dyDescent="0.25">
      <c r="A204" s="7" t="s">
        <v>222</v>
      </c>
      <c r="B204" s="7" t="s">
        <v>151</v>
      </c>
      <c r="C204" s="7" t="s">
        <v>156</v>
      </c>
      <c r="D204" s="7" t="s">
        <v>157</v>
      </c>
      <c r="H204" s="7">
        <v>8</v>
      </c>
      <c r="I204" s="7">
        <v>2</v>
      </c>
      <c r="J204" s="8">
        <f t="shared" si="3"/>
        <v>0.8</v>
      </c>
      <c r="K204" s="8" t="s">
        <v>30</v>
      </c>
      <c r="L204" s="8" t="s">
        <v>30</v>
      </c>
      <c r="M204" s="8" t="s">
        <v>30</v>
      </c>
      <c r="N204" s="8"/>
      <c r="O204" s="11"/>
      <c r="P204" s="7">
        <v>11</v>
      </c>
      <c r="Q204" s="7">
        <v>3</v>
      </c>
      <c r="R204" s="7">
        <v>3</v>
      </c>
      <c r="S204" s="7">
        <v>0</v>
      </c>
      <c r="T204" s="7" t="s">
        <v>156</v>
      </c>
    </row>
    <row r="205" spans="1:20" x14ac:dyDescent="0.25">
      <c r="A205" s="7" t="s">
        <v>222</v>
      </c>
      <c r="B205" s="7" t="s">
        <v>151</v>
      </c>
      <c r="C205" s="7" t="s">
        <v>149</v>
      </c>
      <c r="D205" s="7" t="s">
        <v>152</v>
      </c>
      <c r="H205" s="7">
        <v>8</v>
      </c>
      <c r="I205" s="7">
        <v>2</v>
      </c>
      <c r="J205" s="8">
        <f t="shared" si="3"/>
        <v>0.8</v>
      </c>
      <c r="K205" s="8" t="s">
        <v>30</v>
      </c>
      <c r="L205" s="8" t="s">
        <v>30</v>
      </c>
      <c r="M205" s="8" t="s">
        <v>30</v>
      </c>
      <c r="N205" s="8" t="s">
        <v>30</v>
      </c>
      <c r="O205" s="11"/>
      <c r="P205" s="7">
        <v>10</v>
      </c>
      <c r="Q205" s="7">
        <v>4</v>
      </c>
      <c r="R205" s="7">
        <v>3</v>
      </c>
      <c r="S205" s="7">
        <v>1</v>
      </c>
      <c r="T205" s="7" t="s">
        <v>149</v>
      </c>
    </row>
    <row r="206" spans="1:20" x14ac:dyDescent="0.25">
      <c r="A206" s="7" t="s">
        <v>222</v>
      </c>
      <c r="B206" s="7" t="s">
        <v>151</v>
      </c>
      <c r="C206" s="7" t="s">
        <v>581</v>
      </c>
      <c r="D206" s="7" t="s">
        <v>154</v>
      </c>
      <c r="H206" s="7">
        <v>9</v>
      </c>
      <c r="I206" s="7">
        <v>1</v>
      </c>
      <c r="J206" s="8">
        <f t="shared" si="3"/>
        <v>0.9</v>
      </c>
      <c r="K206" s="8" t="s">
        <v>30</v>
      </c>
      <c r="L206" s="8" t="s">
        <v>30</v>
      </c>
      <c r="M206" s="8"/>
      <c r="N206" s="8"/>
      <c r="O206" s="11"/>
      <c r="P206" s="7">
        <v>11</v>
      </c>
      <c r="Q206" s="7">
        <v>3</v>
      </c>
      <c r="R206" s="7">
        <v>1</v>
      </c>
      <c r="S206" s="7">
        <v>3</v>
      </c>
      <c r="T206" s="7" t="s">
        <v>581</v>
      </c>
    </row>
    <row r="207" spans="1:20" x14ac:dyDescent="0.25">
      <c r="A207" s="7" t="s">
        <v>222</v>
      </c>
      <c r="B207" s="7" t="s">
        <v>151</v>
      </c>
      <c r="C207" s="7" t="s">
        <v>169</v>
      </c>
      <c r="D207" s="7" t="s">
        <v>161</v>
      </c>
      <c r="H207" s="7">
        <v>7</v>
      </c>
      <c r="I207" s="7">
        <v>3</v>
      </c>
      <c r="J207" s="8">
        <f t="shared" si="3"/>
        <v>0.7</v>
      </c>
      <c r="K207" s="8" t="s">
        <v>30</v>
      </c>
      <c r="L207" s="8" t="s">
        <v>30</v>
      </c>
      <c r="M207" s="8"/>
      <c r="N207" s="8"/>
      <c r="O207" s="11"/>
      <c r="P207" s="7">
        <v>9</v>
      </c>
      <c r="Q207" s="7">
        <v>5</v>
      </c>
      <c r="R207" s="7">
        <v>0</v>
      </c>
      <c r="S207" s="7">
        <v>3</v>
      </c>
      <c r="T207" s="7" t="s">
        <v>169</v>
      </c>
    </row>
    <row r="208" spans="1:20" x14ac:dyDescent="0.25">
      <c r="A208" s="7" t="s">
        <v>222</v>
      </c>
      <c r="B208" s="7" t="s">
        <v>151</v>
      </c>
      <c r="C208" s="7" t="s">
        <v>178</v>
      </c>
      <c r="D208" s="7" t="s">
        <v>157</v>
      </c>
      <c r="H208" s="7">
        <v>6</v>
      </c>
      <c r="I208" s="7">
        <v>4</v>
      </c>
      <c r="J208" s="8">
        <f t="shared" si="3"/>
        <v>0.6</v>
      </c>
      <c r="K208" s="8" t="s">
        <v>30</v>
      </c>
      <c r="L208" s="8" t="s">
        <v>30</v>
      </c>
      <c r="M208" s="8"/>
      <c r="N208" s="8"/>
      <c r="O208" s="11"/>
      <c r="P208" s="7">
        <v>6</v>
      </c>
      <c r="Q208" s="7">
        <v>8</v>
      </c>
      <c r="R208" s="7">
        <v>1</v>
      </c>
      <c r="S208" s="7">
        <v>3</v>
      </c>
      <c r="T208" s="7" t="s">
        <v>178</v>
      </c>
    </row>
    <row r="209" spans="1:20" x14ac:dyDescent="0.25">
      <c r="A209" s="7" t="s">
        <v>222</v>
      </c>
      <c r="B209" s="7" t="s">
        <v>151</v>
      </c>
      <c r="C209" s="7" t="s">
        <v>165</v>
      </c>
      <c r="D209" s="7" t="s">
        <v>166</v>
      </c>
      <c r="H209" s="7">
        <v>6</v>
      </c>
      <c r="I209" s="7">
        <v>4</v>
      </c>
      <c r="J209" s="8">
        <f t="shared" si="3"/>
        <v>0.6</v>
      </c>
      <c r="K209" s="8" t="s">
        <v>30</v>
      </c>
      <c r="L209" s="8"/>
      <c r="M209" s="8"/>
      <c r="N209" s="8"/>
      <c r="O209" s="11"/>
      <c r="P209" s="7">
        <v>4</v>
      </c>
      <c r="Q209" s="7">
        <v>10</v>
      </c>
      <c r="T209" s="7" t="s">
        <v>165</v>
      </c>
    </row>
    <row r="210" spans="1:20" x14ac:dyDescent="0.25">
      <c r="A210" s="7" t="s">
        <v>222</v>
      </c>
      <c r="B210" s="7" t="s">
        <v>151</v>
      </c>
      <c r="C210" s="7" t="s">
        <v>162</v>
      </c>
      <c r="D210" s="7" t="s">
        <v>152</v>
      </c>
      <c r="H210" s="7">
        <v>5</v>
      </c>
      <c r="I210" s="7">
        <v>5</v>
      </c>
      <c r="J210" s="8">
        <f t="shared" si="3"/>
        <v>0.5</v>
      </c>
      <c r="K210" s="8" t="s">
        <v>30</v>
      </c>
      <c r="L210" s="8" t="s">
        <v>30</v>
      </c>
      <c r="M210" s="8"/>
      <c r="N210" s="8"/>
      <c r="O210" s="11"/>
      <c r="P210" s="7">
        <v>7</v>
      </c>
      <c r="Q210" s="7">
        <v>7</v>
      </c>
      <c r="R210" s="7">
        <v>1</v>
      </c>
      <c r="S210" s="7">
        <v>3</v>
      </c>
      <c r="T210" s="7" t="s">
        <v>162</v>
      </c>
    </row>
    <row r="211" spans="1:20" x14ac:dyDescent="0.25">
      <c r="A211" s="7" t="s">
        <v>222</v>
      </c>
      <c r="B211" s="7" t="s">
        <v>151</v>
      </c>
      <c r="C211" s="7" t="s">
        <v>211</v>
      </c>
      <c r="D211" s="7" t="s">
        <v>154</v>
      </c>
      <c r="H211" s="7">
        <v>5</v>
      </c>
      <c r="I211" s="7">
        <v>5</v>
      </c>
      <c r="J211" s="8">
        <f t="shared" si="3"/>
        <v>0.5</v>
      </c>
      <c r="K211" s="8" t="s">
        <v>30</v>
      </c>
      <c r="L211" s="8"/>
      <c r="M211" s="8"/>
      <c r="N211" s="8"/>
      <c r="O211" s="11"/>
      <c r="P211" s="7">
        <v>6</v>
      </c>
      <c r="Q211" s="7">
        <v>8</v>
      </c>
      <c r="T211" s="7" t="s">
        <v>177</v>
      </c>
    </row>
    <row r="212" spans="1:20" x14ac:dyDescent="0.25">
      <c r="A212" s="7" t="s">
        <v>222</v>
      </c>
      <c r="B212" s="7" t="s">
        <v>151</v>
      </c>
      <c r="C212" s="7" t="s">
        <v>158</v>
      </c>
      <c r="D212" s="7" t="s">
        <v>159</v>
      </c>
      <c r="H212" s="7">
        <v>5</v>
      </c>
      <c r="I212" s="7">
        <v>5</v>
      </c>
      <c r="J212" s="8">
        <f t="shared" si="3"/>
        <v>0.5</v>
      </c>
      <c r="K212" s="8" t="s">
        <v>30</v>
      </c>
      <c r="L212" s="8"/>
      <c r="M212" s="8"/>
      <c r="N212" s="8"/>
      <c r="O212" s="11"/>
      <c r="P212" s="7">
        <v>5</v>
      </c>
      <c r="Q212" s="7">
        <v>9</v>
      </c>
      <c r="T212" s="7" t="s">
        <v>158</v>
      </c>
    </row>
    <row r="213" spans="1:20" x14ac:dyDescent="0.25">
      <c r="A213" s="7" t="s">
        <v>222</v>
      </c>
      <c r="B213" s="7" t="s">
        <v>151</v>
      </c>
      <c r="C213" s="7" t="s">
        <v>170</v>
      </c>
      <c r="D213" s="7" t="s">
        <v>171</v>
      </c>
      <c r="H213" s="7">
        <v>5</v>
      </c>
      <c r="I213" s="7">
        <v>5</v>
      </c>
      <c r="J213" s="8">
        <f t="shared" si="3"/>
        <v>0.5</v>
      </c>
      <c r="K213" s="8" t="s">
        <v>30</v>
      </c>
      <c r="L213" s="8"/>
      <c r="M213" s="8"/>
      <c r="N213" s="8"/>
      <c r="O213" s="11"/>
      <c r="P213" s="7">
        <v>4</v>
      </c>
      <c r="Q213" s="7">
        <v>10</v>
      </c>
      <c r="T213" s="7" t="s">
        <v>170</v>
      </c>
    </row>
    <row r="214" spans="1:20" x14ac:dyDescent="0.25">
      <c r="A214" s="7" t="s">
        <v>222</v>
      </c>
      <c r="B214" s="7" t="s">
        <v>151</v>
      </c>
      <c r="C214" s="7" t="s">
        <v>223</v>
      </c>
      <c r="D214" s="7" t="s">
        <v>187</v>
      </c>
      <c r="H214" s="7">
        <v>5</v>
      </c>
      <c r="I214" s="7">
        <v>5</v>
      </c>
      <c r="J214" s="8">
        <f t="shared" si="3"/>
        <v>0.5</v>
      </c>
      <c r="K214" s="8" t="s">
        <v>30</v>
      </c>
      <c r="L214" s="8"/>
      <c r="M214" s="8"/>
      <c r="N214" s="8"/>
      <c r="O214" s="11"/>
      <c r="P214" s="7">
        <v>3</v>
      </c>
      <c r="Q214" s="7">
        <v>11</v>
      </c>
      <c r="T214" s="7" t="s">
        <v>223</v>
      </c>
    </row>
    <row r="215" spans="1:20" x14ac:dyDescent="0.25">
      <c r="A215" s="7" t="s">
        <v>222</v>
      </c>
      <c r="B215" s="7" t="s">
        <v>151</v>
      </c>
      <c r="C215" s="7" t="s">
        <v>181</v>
      </c>
      <c r="D215" s="7" t="s">
        <v>173</v>
      </c>
      <c r="H215" s="7">
        <v>4</v>
      </c>
      <c r="I215" s="7">
        <v>6</v>
      </c>
      <c r="J215" s="8">
        <f t="shared" si="3"/>
        <v>0.4</v>
      </c>
      <c r="K215" s="8" t="s">
        <v>30</v>
      </c>
      <c r="L215" s="8"/>
      <c r="M215" s="8"/>
      <c r="N215" s="8"/>
      <c r="O215" s="11"/>
      <c r="P215" s="7">
        <v>7</v>
      </c>
      <c r="Q215" s="7">
        <v>7</v>
      </c>
      <c r="T215" s="7" t="s">
        <v>181</v>
      </c>
    </row>
    <row r="216" spans="1:20" x14ac:dyDescent="0.25">
      <c r="A216" s="7" t="s">
        <v>222</v>
      </c>
      <c r="B216" s="7" t="s">
        <v>151</v>
      </c>
      <c r="C216" s="7" t="s">
        <v>201</v>
      </c>
      <c r="D216" s="7" t="s">
        <v>154</v>
      </c>
      <c r="H216" s="7">
        <v>4</v>
      </c>
      <c r="I216" s="7">
        <v>6</v>
      </c>
      <c r="J216" s="8">
        <f t="shared" si="3"/>
        <v>0.4</v>
      </c>
      <c r="K216" s="8" t="s">
        <v>30</v>
      </c>
      <c r="L216" s="8"/>
      <c r="M216" s="8"/>
      <c r="N216" s="8"/>
      <c r="O216" s="11"/>
      <c r="P216" s="7">
        <v>4</v>
      </c>
      <c r="Q216" s="7">
        <v>10</v>
      </c>
      <c r="T216" s="7" t="s">
        <v>201</v>
      </c>
    </row>
    <row r="217" spans="1:20" x14ac:dyDescent="0.25">
      <c r="A217" s="7" t="s">
        <v>222</v>
      </c>
      <c r="B217" s="7" t="s">
        <v>151</v>
      </c>
      <c r="C217" s="7" t="s">
        <v>224</v>
      </c>
      <c r="D217" s="7" t="s">
        <v>157</v>
      </c>
      <c r="H217" s="7">
        <v>4</v>
      </c>
      <c r="I217" s="7">
        <v>6</v>
      </c>
      <c r="J217" s="8">
        <f t="shared" si="3"/>
        <v>0.4</v>
      </c>
      <c r="K217" s="8" t="s">
        <v>30</v>
      </c>
      <c r="L217" s="8"/>
      <c r="M217" s="8"/>
      <c r="N217" s="8"/>
      <c r="O217" s="11"/>
      <c r="P217" s="7">
        <v>2</v>
      </c>
      <c r="Q217" s="7">
        <v>12</v>
      </c>
      <c r="T217" s="7" t="s">
        <v>204</v>
      </c>
    </row>
    <row r="218" spans="1:20" x14ac:dyDescent="0.25">
      <c r="A218" s="7" t="s">
        <v>222</v>
      </c>
      <c r="B218" s="7" t="s">
        <v>151</v>
      </c>
      <c r="C218" s="7" t="s">
        <v>189</v>
      </c>
      <c r="D218" s="7" t="s">
        <v>187</v>
      </c>
      <c r="H218" s="7">
        <v>5</v>
      </c>
      <c r="I218" s="7">
        <v>5</v>
      </c>
      <c r="J218" s="8">
        <f t="shared" si="3"/>
        <v>0.5</v>
      </c>
      <c r="K218" s="8"/>
      <c r="L218" s="8"/>
      <c r="M218" s="8"/>
      <c r="N218" s="8"/>
      <c r="O218" s="11"/>
      <c r="T218" s="7" t="s">
        <v>189</v>
      </c>
    </row>
    <row r="219" spans="1:20" x14ac:dyDescent="0.25">
      <c r="A219" s="7" t="s">
        <v>222</v>
      </c>
      <c r="B219" s="7" t="s">
        <v>151</v>
      </c>
      <c r="C219" s="7" t="s">
        <v>225</v>
      </c>
      <c r="D219" s="7" t="s">
        <v>159</v>
      </c>
      <c r="H219" s="7">
        <v>4</v>
      </c>
      <c r="I219" s="7">
        <v>6</v>
      </c>
      <c r="J219" s="8">
        <f t="shared" si="3"/>
        <v>0.4</v>
      </c>
      <c r="K219" s="8"/>
      <c r="L219" s="8"/>
      <c r="M219" s="8"/>
      <c r="N219" s="8"/>
      <c r="O219" s="11"/>
      <c r="T219" s="7" t="s">
        <v>225</v>
      </c>
    </row>
    <row r="220" spans="1:20" x14ac:dyDescent="0.25">
      <c r="A220" s="7" t="s">
        <v>222</v>
      </c>
      <c r="B220" s="7" t="s">
        <v>151</v>
      </c>
      <c r="C220" s="7" t="s">
        <v>583</v>
      </c>
      <c r="D220" s="7" t="s">
        <v>215</v>
      </c>
      <c r="H220" s="7">
        <v>3</v>
      </c>
      <c r="I220" s="7">
        <v>7</v>
      </c>
      <c r="J220" s="8">
        <f t="shared" si="3"/>
        <v>0.3</v>
      </c>
      <c r="K220" s="8"/>
      <c r="L220" s="8"/>
      <c r="M220" s="8"/>
      <c r="N220" s="8"/>
      <c r="O220" s="11"/>
      <c r="T220" s="7" t="s">
        <v>214</v>
      </c>
    </row>
    <row r="221" spans="1:20" x14ac:dyDescent="0.25">
      <c r="A221" s="7" t="s">
        <v>222</v>
      </c>
      <c r="B221" s="7" t="s">
        <v>151</v>
      </c>
      <c r="C221" s="7" t="s">
        <v>153</v>
      </c>
      <c r="D221" s="7" t="s">
        <v>154</v>
      </c>
      <c r="H221" s="7">
        <v>3</v>
      </c>
      <c r="I221" s="7">
        <v>7</v>
      </c>
      <c r="J221" s="8">
        <f t="shared" si="3"/>
        <v>0.3</v>
      </c>
      <c r="K221" s="8"/>
      <c r="L221" s="8"/>
      <c r="M221" s="8"/>
      <c r="N221" s="8"/>
      <c r="O221" s="11"/>
      <c r="T221" s="7" t="s">
        <v>153</v>
      </c>
    </row>
    <row r="222" spans="1:20" x14ac:dyDescent="0.25">
      <c r="A222" s="7" t="s">
        <v>222</v>
      </c>
      <c r="B222" s="7" t="s">
        <v>151</v>
      </c>
      <c r="C222" s="7" t="s">
        <v>216</v>
      </c>
      <c r="D222" s="7" t="s">
        <v>164</v>
      </c>
      <c r="H222" s="7">
        <v>2</v>
      </c>
      <c r="I222" s="7">
        <v>8</v>
      </c>
      <c r="J222" s="8">
        <f t="shared" si="3"/>
        <v>0.2</v>
      </c>
      <c r="K222" s="8"/>
      <c r="L222" s="8"/>
      <c r="M222" s="8"/>
      <c r="N222" s="8"/>
      <c r="O222" s="11"/>
      <c r="T222" s="7" t="s">
        <v>216</v>
      </c>
    </row>
    <row r="223" spans="1:20" x14ac:dyDescent="0.25">
      <c r="A223" s="7" t="s">
        <v>222</v>
      </c>
      <c r="B223" s="7" t="s">
        <v>151</v>
      </c>
      <c r="C223" s="7" t="s">
        <v>172</v>
      </c>
      <c r="D223" s="7" t="s">
        <v>173</v>
      </c>
      <c r="H223" s="7">
        <v>2</v>
      </c>
      <c r="I223" s="7">
        <v>8</v>
      </c>
      <c r="J223" s="8">
        <f t="shared" si="3"/>
        <v>0.2</v>
      </c>
      <c r="K223" s="8"/>
      <c r="L223" s="8"/>
      <c r="M223" s="8"/>
      <c r="N223" s="8"/>
      <c r="O223" s="11"/>
      <c r="T223" s="7" t="s">
        <v>172</v>
      </c>
    </row>
    <row r="224" spans="1:20" x14ac:dyDescent="0.25">
      <c r="A224" s="7" t="s">
        <v>222</v>
      </c>
      <c r="B224" s="7" t="s">
        <v>151</v>
      </c>
      <c r="C224" s="7" t="s">
        <v>221</v>
      </c>
      <c r="D224" s="7" t="s">
        <v>171</v>
      </c>
      <c r="H224" s="7">
        <v>1</v>
      </c>
      <c r="I224" s="7">
        <v>9</v>
      </c>
      <c r="J224" s="8">
        <f t="shared" si="3"/>
        <v>0.1</v>
      </c>
      <c r="K224" s="8"/>
      <c r="L224" s="8"/>
      <c r="M224" s="8"/>
      <c r="N224" s="8"/>
      <c r="O224" s="11"/>
      <c r="T224" s="7" t="s">
        <v>221</v>
      </c>
    </row>
    <row r="225" spans="1:20" x14ac:dyDescent="0.25">
      <c r="A225" s="7" t="s">
        <v>222</v>
      </c>
      <c r="B225" s="7" t="s">
        <v>151</v>
      </c>
      <c r="C225" s="7" t="s">
        <v>226</v>
      </c>
      <c r="D225" s="7" t="s">
        <v>220</v>
      </c>
      <c r="H225" s="7">
        <v>1</v>
      </c>
      <c r="I225" s="7">
        <v>9</v>
      </c>
      <c r="J225" s="8">
        <f t="shared" si="3"/>
        <v>0.1</v>
      </c>
      <c r="K225" s="8"/>
      <c r="L225" s="8"/>
      <c r="M225" s="8"/>
      <c r="N225" s="8"/>
      <c r="O225" s="11"/>
      <c r="T225" s="7" t="s">
        <v>226</v>
      </c>
    </row>
    <row r="226" spans="1:20" x14ac:dyDescent="0.25">
      <c r="A226" s="7" t="s">
        <v>227</v>
      </c>
      <c r="B226" s="7" t="s">
        <v>151</v>
      </c>
      <c r="C226" s="7" t="s">
        <v>155</v>
      </c>
      <c r="D226" s="7" t="s">
        <v>154</v>
      </c>
      <c r="H226" s="7">
        <v>10</v>
      </c>
      <c r="I226" s="7">
        <v>0</v>
      </c>
      <c r="J226" s="8">
        <f t="shared" si="3"/>
        <v>1</v>
      </c>
      <c r="K226" s="8" t="s">
        <v>30</v>
      </c>
      <c r="L226" s="8" t="s">
        <v>30</v>
      </c>
      <c r="M226" s="8" t="s">
        <v>30</v>
      </c>
      <c r="N226" s="8" t="s">
        <v>30</v>
      </c>
      <c r="O226" s="11"/>
      <c r="P226" s="7">
        <v>11</v>
      </c>
      <c r="Q226" s="7">
        <v>3</v>
      </c>
      <c r="R226" s="7">
        <v>3</v>
      </c>
      <c r="S226" s="7">
        <v>2</v>
      </c>
      <c r="T226" s="7" t="s">
        <v>155</v>
      </c>
    </row>
    <row r="227" spans="1:20" x14ac:dyDescent="0.25">
      <c r="A227" s="7" t="s">
        <v>227</v>
      </c>
      <c r="B227" s="7" t="s">
        <v>151</v>
      </c>
      <c r="C227" s="7" t="s">
        <v>169</v>
      </c>
      <c r="D227" s="7" t="s">
        <v>161</v>
      </c>
      <c r="H227" s="7">
        <v>8</v>
      </c>
      <c r="I227" s="7">
        <v>2</v>
      </c>
      <c r="J227" s="8">
        <f t="shared" si="3"/>
        <v>0.8</v>
      </c>
      <c r="K227" s="8" t="s">
        <v>30</v>
      </c>
      <c r="L227" s="8" t="s">
        <v>30</v>
      </c>
      <c r="M227" s="8" t="s">
        <v>30</v>
      </c>
      <c r="N227" s="8" t="s">
        <v>30</v>
      </c>
      <c r="O227" s="11" t="s">
        <v>30</v>
      </c>
      <c r="P227" s="7">
        <v>8</v>
      </c>
      <c r="Q227" s="7">
        <v>6</v>
      </c>
      <c r="R227" s="7">
        <v>3</v>
      </c>
      <c r="S227" s="7">
        <v>1</v>
      </c>
      <c r="T227" s="7" t="s">
        <v>169</v>
      </c>
    </row>
    <row r="228" spans="1:20" x14ac:dyDescent="0.25">
      <c r="A228" s="7" t="s">
        <v>227</v>
      </c>
      <c r="B228" s="7" t="s">
        <v>151</v>
      </c>
      <c r="C228" s="7" t="s">
        <v>188</v>
      </c>
      <c r="D228" s="7" t="s">
        <v>187</v>
      </c>
      <c r="H228" s="7">
        <v>7</v>
      </c>
      <c r="I228" s="7">
        <v>3</v>
      </c>
      <c r="J228" s="8">
        <f t="shared" si="3"/>
        <v>0.7</v>
      </c>
      <c r="K228" s="8" t="s">
        <v>30</v>
      </c>
      <c r="L228" s="8" t="s">
        <v>30</v>
      </c>
      <c r="M228" s="8" t="s">
        <v>30</v>
      </c>
      <c r="N228" s="8"/>
      <c r="O228" s="11"/>
      <c r="P228" s="7">
        <v>12</v>
      </c>
      <c r="Q228" s="7">
        <v>2</v>
      </c>
      <c r="R228" s="7">
        <v>3</v>
      </c>
      <c r="S228" s="7">
        <v>2</v>
      </c>
      <c r="T228" s="7" t="s">
        <v>188</v>
      </c>
    </row>
    <row r="229" spans="1:20" x14ac:dyDescent="0.25">
      <c r="A229" s="7" t="s">
        <v>227</v>
      </c>
      <c r="B229" s="7" t="s">
        <v>151</v>
      </c>
      <c r="C229" s="7" t="s">
        <v>581</v>
      </c>
      <c r="D229" s="7" t="s">
        <v>154</v>
      </c>
      <c r="H229" s="7">
        <v>7</v>
      </c>
      <c r="I229" s="7">
        <v>3</v>
      </c>
      <c r="J229" s="8">
        <f t="shared" si="3"/>
        <v>0.7</v>
      </c>
      <c r="K229" s="8" t="s">
        <v>30</v>
      </c>
      <c r="L229" s="8" t="s">
        <v>30</v>
      </c>
      <c r="M229" s="8" t="s">
        <v>30</v>
      </c>
      <c r="N229" s="8"/>
      <c r="O229" s="11"/>
      <c r="P229" s="7">
        <v>12</v>
      </c>
      <c r="Q229" s="7">
        <v>2</v>
      </c>
      <c r="R229" s="7">
        <v>3</v>
      </c>
      <c r="S229" s="7">
        <v>0</v>
      </c>
      <c r="T229" s="7" t="s">
        <v>581</v>
      </c>
    </row>
    <row r="230" spans="1:20" x14ac:dyDescent="0.25">
      <c r="A230" s="7" t="s">
        <v>227</v>
      </c>
      <c r="B230" s="7" t="s">
        <v>151</v>
      </c>
      <c r="C230" s="7" t="s">
        <v>149</v>
      </c>
      <c r="D230" s="7" t="s">
        <v>152</v>
      </c>
      <c r="H230" s="7">
        <v>10</v>
      </c>
      <c r="I230" s="7">
        <v>0</v>
      </c>
      <c r="J230" s="8">
        <f t="shared" si="3"/>
        <v>1</v>
      </c>
      <c r="K230" s="8" t="s">
        <v>30</v>
      </c>
      <c r="L230" s="8" t="s">
        <v>30</v>
      </c>
      <c r="M230" s="8"/>
      <c r="N230" s="8"/>
      <c r="O230" s="11"/>
      <c r="P230" s="7">
        <v>8</v>
      </c>
      <c r="Q230" s="7">
        <v>6</v>
      </c>
      <c r="R230" s="7">
        <v>2</v>
      </c>
      <c r="S230" s="7">
        <v>3</v>
      </c>
      <c r="T230" s="7" t="s">
        <v>149</v>
      </c>
    </row>
    <row r="231" spans="1:20" x14ac:dyDescent="0.25">
      <c r="A231" s="7" t="s">
        <v>227</v>
      </c>
      <c r="B231" s="7" t="s">
        <v>151</v>
      </c>
      <c r="C231" s="7" t="s">
        <v>156</v>
      </c>
      <c r="D231" s="7" t="s">
        <v>157</v>
      </c>
      <c r="H231" s="7">
        <v>8</v>
      </c>
      <c r="I231" s="7">
        <v>2</v>
      </c>
      <c r="J231" s="8">
        <f t="shared" si="3"/>
        <v>0.8</v>
      </c>
      <c r="K231" s="8" t="s">
        <v>30</v>
      </c>
      <c r="L231" s="8"/>
      <c r="M231" s="8"/>
      <c r="N231" s="8"/>
      <c r="O231" s="11"/>
      <c r="P231" s="7">
        <v>6</v>
      </c>
      <c r="Q231" s="7">
        <v>8</v>
      </c>
      <c r="T231" s="7" t="s">
        <v>156</v>
      </c>
    </row>
    <row r="232" spans="1:20" x14ac:dyDescent="0.25">
      <c r="A232" s="7" t="s">
        <v>227</v>
      </c>
      <c r="B232" s="7" t="s">
        <v>151</v>
      </c>
      <c r="C232" s="7" t="s">
        <v>224</v>
      </c>
      <c r="D232" s="7" t="s">
        <v>157</v>
      </c>
      <c r="H232" s="7">
        <v>6</v>
      </c>
      <c r="I232" s="7">
        <v>4</v>
      </c>
      <c r="J232" s="8">
        <f t="shared" si="3"/>
        <v>0.6</v>
      </c>
      <c r="K232" s="8" t="s">
        <v>30</v>
      </c>
      <c r="L232" s="8" t="s">
        <v>30</v>
      </c>
      <c r="M232" s="8"/>
      <c r="N232" s="8"/>
      <c r="O232" s="11"/>
      <c r="P232" s="7">
        <v>7</v>
      </c>
      <c r="Q232" s="7">
        <v>7</v>
      </c>
      <c r="R232" s="7">
        <v>0</v>
      </c>
      <c r="S232" s="7">
        <v>3</v>
      </c>
      <c r="T232" s="7" t="s">
        <v>204</v>
      </c>
    </row>
    <row r="233" spans="1:20" x14ac:dyDescent="0.25">
      <c r="A233" s="7" t="s">
        <v>227</v>
      </c>
      <c r="B233" s="7" t="s">
        <v>151</v>
      </c>
      <c r="C233" s="7" t="s">
        <v>209</v>
      </c>
      <c r="D233" s="7" t="s">
        <v>187</v>
      </c>
      <c r="H233" s="7">
        <v>6</v>
      </c>
      <c r="I233" s="7">
        <v>4</v>
      </c>
      <c r="J233" s="8">
        <f t="shared" si="3"/>
        <v>0.6</v>
      </c>
      <c r="K233" s="8" t="s">
        <v>30</v>
      </c>
      <c r="L233" s="8"/>
      <c r="M233" s="8"/>
      <c r="N233" s="8"/>
      <c r="O233" s="11"/>
      <c r="P233" s="7">
        <v>7</v>
      </c>
      <c r="Q233" s="7">
        <v>7</v>
      </c>
      <c r="T233" s="7" t="s">
        <v>209</v>
      </c>
    </row>
    <row r="234" spans="1:20" x14ac:dyDescent="0.25">
      <c r="A234" s="7" t="s">
        <v>227</v>
      </c>
      <c r="B234" s="7" t="s">
        <v>151</v>
      </c>
      <c r="C234" s="7" t="s">
        <v>211</v>
      </c>
      <c r="D234" s="7" t="s">
        <v>154</v>
      </c>
      <c r="H234" s="7">
        <v>6</v>
      </c>
      <c r="I234" s="7">
        <v>4</v>
      </c>
      <c r="J234" s="8">
        <f t="shared" si="3"/>
        <v>0.6</v>
      </c>
      <c r="K234" s="8" t="s">
        <v>30</v>
      </c>
      <c r="L234" s="8"/>
      <c r="M234" s="8"/>
      <c r="N234" s="8"/>
      <c r="O234" s="11"/>
      <c r="P234" s="7">
        <v>5</v>
      </c>
      <c r="Q234" s="7">
        <v>9</v>
      </c>
      <c r="T234" s="7" t="s">
        <v>177</v>
      </c>
    </row>
    <row r="235" spans="1:20" x14ac:dyDescent="0.25">
      <c r="A235" s="7" t="s">
        <v>227</v>
      </c>
      <c r="B235" s="7" t="s">
        <v>151</v>
      </c>
      <c r="C235" s="7" t="s">
        <v>170</v>
      </c>
      <c r="D235" s="7" t="s">
        <v>171</v>
      </c>
      <c r="H235" s="7">
        <v>5</v>
      </c>
      <c r="I235" s="7">
        <v>5</v>
      </c>
      <c r="J235" s="8">
        <f t="shared" si="3"/>
        <v>0.5</v>
      </c>
      <c r="K235" s="8" t="s">
        <v>30</v>
      </c>
      <c r="L235" s="8" t="s">
        <v>30</v>
      </c>
      <c r="M235" s="8"/>
      <c r="N235" s="8"/>
      <c r="O235" s="11"/>
      <c r="P235" s="7">
        <v>10</v>
      </c>
      <c r="Q235" s="7">
        <v>4</v>
      </c>
      <c r="R235" s="7">
        <v>1</v>
      </c>
      <c r="S235" s="7">
        <v>3</v>
      </c>
      <c r="T235" s="7" t="s">
        <v>170</v>
      </c>
    </row>
    <row r="236" spans="1:20" x14ac:dyDescent="0.25">
      <c r="A236" s="7" t="s">
        <v>227</v>
      </c>
      <c r="B236" s="7" t="s">
        <v>151</v>
      </c>
      <c r="C236" s="7" t="s">
        <v>162</v>
      </c>
      <c r="D236" s="7" t="s">
        <v>152</v>
      </c>
      <c r="H236" s="7">
        <v>5</v>
      </c>
      <c r="I236" s="7">
        <v>5</v>
      </c>
      <c r="J236" s="8">
        <f t="shared" si="3"/>
        <v>0.5</v>
      </c>
      <c r="K236" s="8" t="s">
        <v>30</v>
      </c>
      <c r="L236" s="8" t="s">
        <v>30</v>
      </c>
      <c r="M236" s="8"/>
      <c r="N236" s="8"/>
      <c r="O236" s="11"/>
      <c r="P236" s="7">
        <v>7</v>
      </c>
      <c r="Q236" s="7">
        <v>7</v>
      </c>
      <c r="R236" s="7">
        <v>2</v>
      </c>
      <c r="S236" s="7">
        <v>3</v>
      </c>
      <c r="T236" s="7" t="s">
        <v>162</v>
      </c>
    </row>
    <row r="237" spans="1:20" x14ac:dyDescent="0.25">
      <c r="A237" s="7" t="s">
        <v>227</v>
      </c>
      <c r="B237" s="7" t="s">
        <v>151</v>
      </c>
      <c r="C237" s="7" t="s">
        <v>201</v>
      </c>
      <c r="D237" s="7" t="s">
        <v>154</v>
      </c>
      <c r="H237" s="7">
        <v>5</v>
      </c>
      <c r="I237" s="7">
        <v>5</v>
      </c>
      <c r="J237" s="8">
        <f t="shared" si="3"/>
        <v>0.5</v>
      </c>
      <c r="K237" s="8" t="s">
        <v>30</v>
      </c>
      <c r="L237" s="8"/>
      <c r="M237" s="8"/>
      <c r="N237" s="8"/>
      <c r="O237" s="11"/>
      <c r="P237" s="7">
        <v>6</v>
      </c>
      <c r="Q237" s="7">
        <v>8</v>
      </c>
      <c r="T237" s="7" t="s">
        <v>201</v>
      </c>
    </row>
    <row r="238" spans="1:20" x14ac:dyDescent="0.25">
      <c r="A238" s="7" t="s">
        <v>227</v>
      </c>
      <c r="B238" s="7" t="s">
        <v>151</v>
      </c>
      <c r="C238" s="7" t="s">
        <v>158</v>
      </c>
      <c r="D238" s="7" t="s">
        <v>159</v>
      </c>
      <c r="H238" s="7">
        <v>5</v>
      </c>
      <c r="I238" s="7">
        <v>5</v>
      </c>
      <c r="J238" s="8">
        <f t="shared" si="3"/>
        <v>0.5</v>
      </c>
      <c r="K238" s="8" t="s">
        <v>30</v>
      </c>
      <c r="L238" s="8"/>
      <c r="M238" s="8"/>
      <c r="N238" s="8"/>
      <c r="O238" s="11"/>
      <c r="P238" s="7">
        <v>2</v>
      </c>
      <c r="Q238" s="7">
        <v>12</v>
      </c>
      <c r="T238" s="7" t="s">
        <v>158</v>
      </c>
    </row>
    <row r="239" spans="1:20" x14ac:dyDescent="0.25">
      <c r="A239" s="7" t="s">
        <v>227</v>
      </c>
      <c r="B239" s="7" t="s">
        <v>151</v>
      </c>
      <c r="C239" s="7" t="s">
        <v>172</v>
      </c>
      <c r="D239" s="7" t="s">
        <v>173</v>
      </c>
      <c r="H239" s="7">
        <v>4</v>
      </c>
      <c r="I239" s="7">
        <v>6</v>
      </c>
      <c r="J239" s="8">
        <f t="shared" si="3"/>
        <v>0.4</v>
      </c>
      <c r="K239" s="8" t="s">
        <v>30</v>
      </c>
      <c r="L239" s="8"/>
      <c r="M239" s="8"/>
      <c r="N239" s="8"/>
      <c r="O239" s="11"/>
      <c r="P239" s="7">
        <v>5</v>
      </c>
      <c r="Q239" s="7">
        <v>9</v>
      </c>
      <c r="T239" s="7" t="s">
        <v>172</v>
      </c>
    </row>
    <row r="240" spans="1:20" x14ac:dyDescent="0.25">
      <c r="A240" s="7" t="s">
        <v>227</v>
      </c>
      <c r="B240" s="7" t="s">
        <v>151</v>
      </c>
      <c r="C240" s="7" t="s">
        <v>178</v>
      </c>
      <c r="D240" s="7" t="s">
        <v>157</v>
      </c>
      <c r="H240" s="7">
        <v>4</v>
      </c>
      <c r="I240" s="7">
        <v>6</v>
      </c>
      <c r="J240" s="8">
        <f t="shared" si="3"/>
        <v>0.4</v>
      </c>
      <c r="K240" s="8" t="s">
        <v>30</v>
      </c>
      <c r="L240" s="8"/>
      <c r="M240" s="8"/>
      <c r="N240" s="8"/>
      <c r="O240" s="11"/>
      <c r="P240" s="7">
        <v>2</v>
      </c>
      <c r="Q240" s="7">
        <v>12</v>
      </c>
      <c r="T240" s="7" t="s">
        <v>178</v>
      </c>
    </row>
    <row r="241" spans="1:20" x14ac:dyDescent="0.25">
      <c r="A241" s="7" t="s">
        <v>227</v>
      </c>
      <c r="B241" s="7" t="s">
        <v>151</v>
      </c>
      <c r="C241" s="7" t="s">
        <v>174</v>
      </c>
      <c r="D241" s="7" t="s">
        <v>166</v>
      </c>
      <c r="H241" s="7">
        <v>3</v>
      </c>
      <c r="I241" s="7">
        <v>7</v>
      </c>
      <c r="J241" s="8">
        <f t="shared" si="3"/>
        <v>0.3</v>
      </c>
      <c r="K241" s="8" t="s">
        <v>30</v>
      </c>
      <c r="L241" s="8"/>
      <c r="M241" s="8"/>
      <c r="N241" s="8"/>
      <c r="O241" s="11"/>
      <c r="P241" s="7">
        <v>4</v>
      </c>
      <c r="Q241" s="7">
        <v>10</v>
      </c>
      <c r="T241" s="7" t="s">
        <v>174</v>
      </c>
    </row>
    <row r="242" spans="1:20" x14ac:dyDescent="0.25">
      <c r="A242" s="7" t="s">
        <v>227</v>
      </c>
      <c r="B242" s="7" t="s">
        <v>151</v>
      </c>
      <c r="C242" s="7" t="s">
        <v>165</v>
      </c>
      <c r="D242" s="7" t="s">
        <v>166</v>
      </c>
      <c r="H242" s="7">
        <v>4</v>
      </c>
      <c r="I242" s="7">
        <v>6</v>
      </c>
      <c r="J242" s="8">
        <f t="shared" si="3"/>
        <v>0.4</v>
      </c>
      <c r="K242" s="8"/>
      <c r="L242" s="8"/>
      <c r="M242" s="8"/>
      <c r="N242" s="8"/>
      <c r="O242" s="11"/>
      <c r="T242" s="7" t="s">
        <v>165</v>
      </c>
    </row>
    <row r="243" spans="1:20" x14ac:dyDescent="0.25">
      <c r="A243" s="7" t="s">
        <v>227</v>
      </c>
      <c r="B243" s="7" t="s">
        <v>151</v>
      </c>
      <c r="C243" s="7" t="s">
        <v>229</v>
      </c>
      <c r="D243" s="7" t="s">
        <v>164</v>
      </c>
      <c r="H243" s="7">
        <v>3</v>
      </c>
      <c r="I243" s="7">
        <v>7</v>
      </c>
      <c r="J243" s="8">
        <f t="shared" si="3"/>
        <v>0.3</v>
      </c>
      <c r="K243" s="8"/>
      <c r="L243" s="8"/>
      <c r="M243" s="8"/>
      <c r="N243" s="8"/>
      <c r="O243" s="11"/>
      <c r="T243" s="7" t="s">
        <v>228</v>
      </c>
    </row>
    <row r="244" spans="1:20" x14ac:dyDescent="0.25">
      <c r="A244" s="7" t="s">
        <v>227</v>
      </c>
      <c r="B244" s="7" t="s">
        <v>151</v>
      </c>
      <c r="C244" s="7" t="s">
        <v>217</v>
      </c>
      <c r="D244" s="7" t="s">
        <v>164</v>
      </c>
      <c r="H244" s="7">
        <v>3</v>
      </c>
      <c r="I244" s="7">
        <v>7</v>
      </c>
      <c r="J244" s="8">
        <f t="shared" si="3"/>
        <v>0.3</v>
      </c>
      <c r="K244" s="8"/>
      <c r="L244" s="8"/>
      <c r="M244" s="8"/>
      <c r="N244" s="8"/>
      <c r="O244" s="11"/>
      <c r="T244" s="7" t="s">
        <v>217</v>
      </c>
    </row>
    <row r="245" spans="1:20" x14ac:dyDescent="0.25">
      <c r="A245" s="7" t="s">
        <v>227</v>
      </c>
      <c r="B245" s="7" t="s">
        <v>151</v>
      </c>
      <c r="C245" s="7" t="s">
        <v>213</v>
      </c>
      <c r="D245" s="7" t="s">
        <v>173</v>
      </c>
      <c r="H245" s="7">
        <v>3</v>
      </c>
      <c r="I245" s="7">
        <v>7</v>
      </c>
      <c r="J245" s="8">
        <f t="shared" si="3"/>
        <v>0.3</v>
      </c>
      <c r="K245" s="8"/>
      <c r="L245" s="8"/>
      <c r="M245" s="8"/>
      <c r="N245" s="8"/>
      <c r="O245" s="11"/>
      <c r="T245" s="7" t="s">
        <v>582</v>
      </c>
    </row>
    <row r="246" spans="1:20" x14ac:dyDescent="0.25">
      <c r="A246" s="7" t="s">
        <v>227</v>
      </c>
      <c r="B246" s="7" t="s">
        <v>151</v>
      </c>
      <c r="C246" s="7" t="s">
        <v>230</v>
      </c>
      <c r="D246" s="7" t="s">
        <v>171</v>
      </c>
      <c r="H246" s="7">
        <v>3</v>
      </c>
      <c r="I246" s="7">
        <v>7</v>
      </c>
      <c r="J246" s="8">
        <f t="shared" si="3"/>
        <v>0.3</v>
      </c>
      <c r="K246" s="8"/>
      <c r="L246" s="8"/>
      <c r="M246" s="8"/>
      <c r="N246" s="8"/>
      <c r="O246" s="11"/>
      <c r="T246" s="7" t="s">
        <v>584</v>
      </c>
    </row>
    <row r="247" spans="1:20" x14ac:dyDescent="0.25">
      <c r="A247" s="7" t="s">
        <v>227</v>
      </c>
      <c r="B247" s="7" t="s">
        <v>151</v>
      </c>
      <c r="C247" s="7" t="s">
        <v>219</v>
      </c>
      <c r="D247" s="7" t="s">
        <v>220</v>
      </c>
      <c r="H247" s="7">
        <v>2</v>
      </c>
      <c r="I247" s="7">
        <v>8</v>
      </c>
      <c r="J247" s="8">
        <f t="shared" si="3"/>
        <v>0.2</v>
      </c>
      <c r="K247" s="8"/>
      <c r="L247" s="8"/>
      <c r="M247" s="8"/>
      <c r="N247" s="8"/>
      <c r="O247" s="11"/>
      <c r="T247" s="7" t="s">
        <v>219</v>
      </c>
    </row>
    <row r="248" spans="1:20" x14ac:dyDescent="0.25">
      <c r="A248" s="7" t="s">
        <v>227</v>
      </c>
      <c r="B248" s="7" t="s">
        <v>151</v>
      </c>
      <c r="C248" s="7" t="s">
        <v>232</v>
      </c>
      <c r="D248" s="7" t="s">
        <v>233</v>
      </c>
      <c r="H248" s="7">
        <v>2</v>
      </c>
      <c r="I248" s="7">
        <v>8</v>
      </c>
      <c r="J248" s="8">
        <f t="shared" si="3"/>
        <v>0.2</v>
      </c>
      <c r="K248" s="8"/>
      <c r="L248" s="8"/>
      <c r="M248" s="8"/>
      <c r="N248" s="8"/>
      <c r="O248" s="11"/>
      <c r="T248" s="7" t="s">
        <v>231</v>
      </c>
    </row>
    <row r="249" spans="1:20" x14ac:dyDescent="0.25">
      <c r="A249" s="7" t="s">
        <v>227</v>
      </c>
      <c r="B249" s="7" t="s">
        <v>151</v>
      </c>
      <c r="C249" s="7" t="s">
        <v>235</v>
      </c>
      <c r="D249" s="7" t="s">
        <v>159</v>
      </c>
      <c r="H249" s="7">
        <v>1</v>
      </c>
      <c r="I249" s="7">
        <v>9</v>
      </c>
      <c r="J249" s="8">
        <f t="shared" si="3"/>
        <v>0.1</v>
      </c>
      <c r="K249" s="8"/>
      <c r="L249" s="8"/>
      <c r="M249" s="8"/>
      <c r="N249" s="8"/>
      <c r="O249" s="11"/>
      <c r="T249" s="7" t="s">
        <v>234</v>
      </c>
    </row>
    <row r="250" spans="1:20" x14ac:dyDescent="0.25">
      <c r="A250" s="7" t="s">
        <v>236</v>
      </c>
      <c r="B250" s="7" t="s">
        <v>151</v>
      </c>
      <c r="C250" s="7" t="s">
        <v>581</v>
      </c>
      <c r="D250" s="7" t="s">
        <v>154</v>
      </c>
      <c r="H250" s="7">
        <v>9</v>
      </c>
      <c r="I250" s="7">
        <v>1</v>
      </c>
      <c r="J250" s="8">
        <f t="shared" si="3"/>
        <v>0.9</v>
      </c>
      <c r="K250" s="8" t="s">
        <v>30</v>
      </c>
      <c r="L250" s="8" t="s">
        <v>30</v>
      </c>
      <c r="M250" s="8" t="s">
        <v>30</v>
      </c>
      <c r="N250" s="8"/>
      <c r="O250" s="11"/>
      <c r="P250" s="7">
        <v>13</v>
      </c>
      <c r="Q250" s="7">
        <v>1</v>
      </c>
      <c r="R250" s="7">
        <v>3</v>
      </c>
      <c r="S250" s="7">
        <v>2</v>
      </c>
      <c r="T250" s="7" t="s">
        <v>581</v>
      </c>
    </row>
    <row r="251" spans="1:20" x14ac:dyDescent="0.25">
      <c r="A251" s="7" t="s">
        <v>236</v>
      </c>
      <c r="B251" s="7" t="s">
        <v>151</v>
      </c>
      <c r="C251" s="7" t="s">
        <v>188</v>
      </c>
      <c r="D251" s="7" t="s">
        <v>187</v>
      </c>
      <c r="H251" s="7">
        <v>9</v>
      </c>
      <c r="I251" s="7">
        <v>1</v>
      </c>
      <c r="J251" s="8">
        <f t="shared" si="3"/>
        <v>0.9</v>
      </c>
      <c r="K251" s="8" t="s">
        <v>30</v>
      </c>
      <c r="L251" s="8" t="s">
        <v>30</v>
      </c>
      <c r="M251" s="8" t="s">
        <v>30</v>
      </c>
      <c r="N251" s="8"/>
      <c r="O251" s="11"/>
      <c r="P251" s="7">
        <v>11</v>
      </c>
      <c r="Q251" s="7">
        <v>3</v>
      </c>
      <c r="R251" s="7">
        <v>3</v>
      </c>
      <c r="S251" s="7">
        <v>1</v>
      </c>
      <c r="T251" s="7" t="s">
        <v>188</v>
      </c>
    </row>
    <row r="252" spans="1:20" x14ac:dyDescent="0.25">
      <c r="A252" s="7" t="s">
        <v>236</v>
      </c>
      <c r="B252" s="7" t="s">
        <v>151</v>
      </c>
      <c r="C252" s="7" t="s">
        <v>149</v>
      </c>
      <c r="D252" s="7" t="s">
        <v>152</v>
      </c>
      <c r="H252" s="7">
        <v>8</v>
      </c>
      <c r="I252" s="7">
        <v>2</v>
      </c>
      <c r="J252" s="8">
        <f t="shared" si="3"/>
        <v>0.8</v>
      </c>
      <c r="K252" s="8" t="s">
        <v>30</v>
      </c>
      <c r="L252" s="8" t="s">
        <v>30</v>
      </c>
      <c r="M252" s="8" t="s">
        <v>30</v>
      </c>
      <c r="N252" s="8" t="s">
        <v>30</v>
      </c>
      <c r="O252" s="11" t="s">
        <v>30</v>
      </c>
      <c r="P252" s="7">
        <v>9</v>
      </c>
      <c r="Q252" s="7">
        <v>5</v>
      </c>
      <c r="R252" s="7">
        <v>3</v>
      </c>
      <c r="S252" s="7">
        <v>2</v>
      </c>
      <c r="T252" s="7" t="s">
        <v>149</v>
      </c>
    </row>
    <row r="253" spans="1:20" x14ac:dyDescent="0.25">
      <c r="A253" s="7" t="s">
        <v>236</v>
      </c>
      <c r="B253" s="7" t="s">
        <v>151</v>
      </c>
      <c r="C253" s="7" t="s">
        <v>155</v>
      </c>
      <c r="D253" s="7" t="s">
        <v>154</v>
      </c>
      <c r="H253" s="7">
        <v>7</v>
      </c>
      <c r="I253" s="7">
        <v>3</v>
      </c>
      <c r="J253" s="8">
        <f t="shared" si="3"/>
        <v>0.7</v>
      </c>
      <c r="K253" s="8" t="s">
        <v>30</v>
      </c>
      <c r="L253" s="8" t="s">
        <v>30</v>
      </c>
      <c r="M253" s="8" t="s">
        <v>30</v>
      </c>
      <c r="N253" s="8" t="s">
        <v>30</v>
      </c>
      <c r="O253" s="11"/>
      <c r="P253" s="7">
        <v>10</v>
      </c>
      <c r="Q253" s="7">
        <v>4</v>
      </c>
      <c r="R253" s="7">
        <v>3</v>
      </c>
      <c r="S253" s="7">
        <v>0</v>
      </c>
      <c r="T253" s="7" t="s">
        <v>155</v>
      </c>
    </row>
    <row r="254" spans="1:20" x14ac:dyDescent="0.25">
      <c r="A254" s="7" t="s">
        <v>236</v>
      </c>
      <c r="B254" s="7" t="s">
        <v>151</v>
      </c>
      <c r="C254" s="7" t="s">
        <v>169</v>
      </c>
      <c r="D254" s="7" t="s">
        <v>161</v>
      </c>
      <c r="H254" s="7">
        <v>8</v>
      </c>
      <c r="I254" s="7">
        <v>2</v>
      </c>
      <c r="J254" s="8">
        <f t="shared" si="3"/>
        <v>0.8</v>
      </c>
      <c r="K254" s="8" t="s">
        <v>30</v>
      </c>
      <c r="L254" s="8" t="s">
        <v>30</v>
      </c>
      <c r="M254" s="8"/>
      <c r="N254" s="8"/>
      <c r="O254" s="11"/>
      <c r="P254" s="7">
        <v>8</v>
      </c>
      <c r="Q254" s="7">
        <v>6</v>
      </c>
      <c r="R254" s="7">
        <v>0</v>
      </c>
      <c r="S254" s="7">
        <v>3</v>
      </c>
      <c r="T254" s="7" t="s">
        <v>169</v>
      </c>
    </row>
    <row r="255" spans="1:20" x14ac:dyDescent="0.25">
      <c r="A255" s="7" t="s">
        <v>236</v>
      </c>
      <c r="B255" s="7" t="s">
        <v>151</v>
      </c>
      <c r="C255" s="7" t="s">
        <v>201</v>
      </c>
      <c r="D255" s="7" t="s">
        <v>154</v>
      </c>
      <c r="H255" s="7">
        <v>8</v>
      </c>
      <c r="I255" s="7">
        <v>2</v>
      </c>
      <c r="J255" s="8">
        <f t="shared" si="3"/>
        <v>0.8</v>
      </c>
      <c r="K255" s="8" t="s">
        <v>30</v>
      </c>
      <c r="L255" s="8"/>
      <c r="M255" s="8"/>
      <c r="N255" s="8"/>
      <c r="O255" s="11"/>
      <c r="P255" s="7">
        <v>7</v>
      </c>
      <c r="Q255" s="7">
        <v>7</v>
      </c>
      <c r="T255" s="7" t="s">
        <v>201</v>
      </c>
    </row>
    <row r="256" spans="1:20" x14ac:dyDescent="0.25">
      <c r="A256" s="7" t="s">
        <v>236</v>
      </c>
      <c r="B256" s="7" t="s">
        <v>151</v>
      </c>
      <c r="C256" s="7" t="s">
        <v>158</v>
      </c>
      <c r="D256" s="7" t="s">
        <v>159</v>
      </c>
      <c r="H256" s="7">
        <v>8</v>
      </c>
      <c r="I256" s="7">
        <v>2</v>
      </c>
      <c r="J256" s="8">
        <f t="shared" si="3"/>
        <v>0.8</v>
      </c>
      <c r="K256" s="8" t="s">
        <v>30</v>
      </c>
      <c r="L256" s="8"/>
      <c r="M256" s="8"/>
      <c r="N256" s="8"/>
      <c r="O256" s="11"/>
      <c r="P256" s="7">
        <v>6</v>
      </c>
      <c r="Q256" s="7">
        <v>8</v>
      </c>
      <c r="T256" s="7" t="s">
        <v>158</v>
      </c>
    </row>
    <row r="257" spans="1:20" x14ac:dyDescent="0.25">
      <c r="A257" s="7" t="s">
        <v>236</v>
      </c>
      <c r="B257" s="7" t="s">
        <v>151</v>
      </c>
      <c r="C257" s="7" t="s">
        <v>162</v>
      </c>
      <c r="D257" s="7" t="s">
        <v>152</v>
      </c>
      <c r="H257" s="7">
        <v>6</v>
      </c>
      <c r="I257" s="7">
        <v>4</v>
      </c>
      <c r="J257" s="8">
        <f t="shared" si="3"/>
        <v>0.6</v>
      </c>
      <c r="K257" s="8" t="s">
        <v>30</v>
      </c>
      <c r="L257" s="8" t="s">
        <v>30</v>
      </c>
      <c r="M257" s="8"/>
      <c r="N257" s="8"/>
      <c r="O257" s="11"/>
      <c r="P257" s="7">
        <v>9</v>
      </c>
      <c r="Q257" s="7">
        <v>5</v>
      </c>
      <c r="R257" s="7">
        <v>2</v>
      </c>
      <c r="S257" s="7">
        <v>3</v>
      </c>
      <c r="T257" s="7" t="s">
        <v>162</v>
      </c>
    </row>
    <row r="258" spans="1:20" x14ac:dyDescent="0.25">
      <c r="A258" s="7" t="s">
        <v>236</v>
      </c>
      <c r="B258" s="7" t="s">
        <v>151</v>
      </c>
      <c r="C258" s="7" t="s">
        <v>192</v>
      </c>
      <c r="D258" s="7" t="s">
        <v>187</v>
      </c>
      <c r="H258" s="7">
        <v>6</v>
      </c>
      <c r="I258" s="7">
        <v>4</v>
      </c>
      <c r="J258" s="8">
        <f t="shared" ref="J258:J321" si="4">H258/SUM(H258:I258)</f>
        <v>0.6</v>
      </c>
      <c r="K258" s="8" t="s">
        <v>30</v>
      </c>
      <c r="L258" s="8"/>
      <c r="M258" s="8"/>
      <c r="N258" s="8"/>
      <c r="O258" s="11"/>
      <c r="P258" s="7">
        <v>7</v>
      </c>
      <c r="Q258" s="7">
        <v>7</v>
      </c>
      <c r="T258" s="7" t="s">
        <v>192</v>
      </c>
    </row>
    <row r="259" spans="1:20" x14ac:dyDescent="0.25">
      <c r="A259" s="7" t="s">
        <v>236</v>
      </c>
      <c r="B259" s="7" t="s">
        <v>151</v>
      </c>
      <c r="C259" s="7" t="s">
        <v>178</v>
      </c>
      <c r="D259" s="7" t="s">
        <v>157</v>
      </c>
      <c r="H259" s="7">
        <v>5</v>
      </c>
      <c r="I259" s="7">
        <v>5</v>
      </c>
      <c r="J259" s="8">
        <f t="shared" si="4"/>
        <v>0.5</v>
      </c>
      <c r="K259" s="8" t="s">
        <v>30</v>
      </c>
      <c r="L259" s="8" t="s">
        <v>30</v>
      </c>
      <c r="M259" s="8"/>
      <c r="N259" s="8"/>
      <c r="O259" s="11"/>
      <c r="P259" s="7">
        <v>9</v>
      </c>
      <c r="Q259" s="7">
        <v>5</v>
      </c>
      <c r="R259" s="7">
        <v>2</v>
      </c>
      <c r="S259" s="7">
        <v>3</v>
      </c>
      <c r="T259" s="7" t="s">
        <v>178</v>
      </c>
    </row>
    <row r="260" spans="1:20" x14ac:dyDescent="0.25">
      <c r="A260" s="7" t="s">
        <v>236</v>
      </c>
      <c r="B260" s="7" t="s">
        <v>151</v>
      </c>
      <c r="C260" s="7" t="s">
        <v>230</v>
      </c>
      <c r="D260" s="7" t="s">
        <v>171</v>
      </c>
      <c r="H260" s="7">
        <v>5</v>
      </c>
      <c r="I260" s="7">
        <v>5</v>
      </c>
      <c r="J260" s="8">
        <f t="shared" si="4"/>
        <v>0.5</v>
      </c>
      <c r="K260" s="8" t="s">
        <v>30</v>
      </c>
      <c r="L260" s="8"/>
      <c r="M260" s="8"/>
      <c r="N260" s="8"/>
      <c r="O260" s="11"/>
      <c r="P260" s="7">
        <v>7</v>
      </c>
      <c r="Q260" s="7">
        <v>7</v>
      </c>
      <c r="T260" s="7" t="s">
        <v>584</v>
      </c>
    </row>
    <row r="261" spans="1:20" x14ac:dyDescent="0.25">
      <c r="A261" s="7" t="s">
        <v>236</v>
      </c>
      <c r="B261" s="7" t="s">
        <v>151</v>
      </c>
      <c r="C261" s="12" t="s">
        <v>237</v>
      </c>
      <c r="D261" s="7" t="s">
        <v>157</v>
      </c>
      <c r="E261" s="12"/>
      <c r="F261" s="12"/>
      <c r="G261" s="12"/>
      <c r="H261" s="7">
        <v>5</v>
      </c>
      <c r="I261" s="7">
        <v>5</v>
      </c>
      <c r="J261" s="8">
        <f t="shared" si="4"/>
        <v>0.5</v>
      </c>
      <c r="K261" s="8" t="s">
        <v>30</v>
      </c>
      <c r="L261" s="8"/>
      <c r="M261" s="8"/>
      <c r="N261" s="8"/>
      <c r="O261" s="11"/>
      <c r="P261" s="7">
        <v>2</v>
      </c>
      <c r="Q261" s="7">
        <v>12</v>
      </c>
      <c r="T261" s="12" t="s">
        <v>237</v>
      </c>
    </row>
    <row r="262" spans="1:20" x14ac:dyDescent="0.25">
      <c r="A262" s="7" t="s">
        <v>236</v>
      </c>
      <c r="B262" s="7" t="s">
        <v>151</v>
      </c>
      <c r="C262" s="7" t="s">
        <v>156</v>
      </c>
      <c r="D262" s="7" t="s">
        <v>157</v>
      </c>
      <c r="H262" s="7">
        <v>5</v>
      </c>
      <c r="I262" s="7">
        <v>5</v>
      </c>
      <c r="J262" s="8">
        <f t="shared" si="4"/>
        <v>0.5</v>
      </c>
      <c r="K262" s="8" t="s">
        <v>30</v>
      </c>
      <c r="L262" s="8"/>
      <c r="M262" s="8"/>
      <c r="N262" s="8"/>
      <c r="O262" s="11"/>
      <c r="P262" s="7">
        <v>2</v>
      </c>
      <c r="Q262" s="7">
        <v>12</v>
      </c>
      <c r="T262" s="7" t="s">
        <v>156</v>
      </c>
    </row>
    <row r="263" spans="1:20" x14ac:dyDescent="0.25">
      <c r="A263" s="7" t="s">
        <v>236</v>
      </c>
      <c r="B263" s="7" t="s">
        <v>151</v>
      </c>
      <c r="C263" s="7" t="s">
        <v>211</v>
      </c>
      <c r="D263" s="7" t="s">
        <v>154</v>
      </c>
      <c r="H263" s="7">
        <v>4</v>
      </c>
      <c r="I263" s="7">
        <v>6</v>
      </c>
      <c r="J263" s="8">
        <f t="shared" si="4"/>
        <v>0.4</v>
      </c>
      <c r="K263" s="8" t="s">
        <v>30</v>
      </c>
      <c r="L263" s="8" t="s">
        <v>30</v>
      </c>
      <c r="M263" s="8"/>
      <c r="N263" s="8"/>
      <c r="O263" s="11"/>
      <c r="P263" s="7">
        <v>8</v>
      </c>
      <c r="Q263" s="7">
        <v>6</v>
      </c>
      <c r="R263" s="7">
        <v>1</v>
      </c>
      <c r="S263" s="7">
        <v>3</v>
      </c>
      <c r="T263" s="7" t="s">
        <v>177</v>
      </c>
    </row>
    <row r="264" spans="1:20" x14ac:dyDescent="0.25">
      <c r="A264" s="7" t="s">
        <v>236</v>
      </c>
      <c r="B264" s="7" t="s">
        <v>151</v>
      </c>
      <c r="C264" s="7" t="s">
        <v>181</v>
      </c>
      <c r="D264" s="7" t="s">
        <v>173</v>
      </c>
      <c r="H264" s="7">
        <v>4</v>
      </c>
      <c r="I264" s="7">
        <v>6</v>
      </c>
      <c r="J264" s="8">
        <f t="shared" si="4"/>
        <v>0.4</v>
      </c>
      <c r="K264" s="8" t="s">
        <v>30</v>
      </c>
      <c r="L264" s="8"/>
      <c r="M264" s="8"/>
      <c r="N264" s="8"/>
      <c r="O264" s="11"/>
      <c r="P264" s="7">
        <v>4</v>
      </c>
      <c r="Q264" s="7">
        <v>10</v>
      </c>
      <c r="T264" s="7" t="s">
        <v>181</v>
      </c>
    </row>
    <row r="265" spans="1:20" x14ac:dyDescent="0.25">
      <c r="A265" s="7" t="s">
        <v>236</v>
      </c>
      <c r="B265" s="7" t="s">
        <v>151</v>
      </c>
      <c r="C265" s="7" t="s">
        <v>213</v>
      </c>
      <c r="D265" s="7" t="s">
        <v>173</v>
      </c>
      <c r="H265" s="7">
        <v>3</v>
      </c>
      <c r="I265" s="7">
        <v>7</v>
      </c>
      <c r="J265" s="8">
        <f t="shared" si="4"/>
        <v>0.3</v>
      </c>
      <c r="K265" s="8" t="s">
        <v>30</v>
      </c>
      <c r="L265" s="8"/>
      <c r="M265" s="8"/>
      <c r="N265" s="8"/>
      <c r="O265" s="11"/>
      <c r="P265" s="7">
        <v>0</v>
      </c>
      <c r="Q265" s="7">
        <v>14</v>
      </c>
      <c r="T265" s="7" t="s">
        <v>582</v>
      </c>
    </row>
    <row r="266" spans="1:20" x14ac:dyDescent="0.25">
      <c r="A266" s="7" t="s">
        <v>236</v>
      </c>
      <c r="B266" s="7" t="s">
        <v>151</v>
      </c>
      <c r="C266" s="7" t="s">
        <v>238</v>
      </c>
      <c r="D266" s="7" t="s">
        <v>164</v>
      </c>
      <c r="H266" s="7">
        <v>3</v>
      </c>
      <c r="I266" s="7">
        <v>7</v>
      </c>
      <c r="J266" s="8">
        <f t="shared" si="4"/>
        <v>0.3</v>
      </c>
      <c r="K266" s="8"/>
      <c r="L266" s="8"/>
      <c r="M266" s="8"/>
      <c r="N266" s="8"/>
      <c r="O266" s="11"/>
      <c r="T266" s="7" t="s">
        <v>238</v>
      </c>
    </row>
    <row r="267" spans="1:20" x14ac:dyDescent="0.25">
      <c r="A267" s="7" t="s">
        <v>236</v>
      </c>
      <c r="B267" s="7" t="s">
        <v>151</v>
      </c>
      <c r="C267" s="7" t="s">
        <v>170</v>
      </c>
      <c r="D267" s="7" t="s">
        <v>171</v>
      </c>
      <c r="H267" s="7">
        <v>3</v>
      </c>
      <c r="I267" s="7">
        <v>7</v>
      </c>
      <c r="J267" s="8">
        <f t="shared" si="4"/>
        <v>0.3</v>
      </c>
      <c r="K267" s="8"/>
      <c r="L267" s="8"/>
      <c r="M267" s="8"/>
      <c r="N267" s="8"/>
      <c r="O267" s="11"/>
      <c r="T267" s="7" t="s">
        <v>170</v>
      </c>
    </row>
    <row r="268" spans="1:20" x14ac:dyDescent="0.25">
      <c r="A268" s="7" t="s">
        <v>236</v>
      </c>
      <c r="B268" s="7" t="s">
        <v>151</v>
      </c>
      <c r="C268" s="7" t="s">
        <v>240</v>
      </c>
      <c r="D268" s="7" t="s">
        <v>171</v>
      </c>
      <c r="H268" s="7">
        <v>3</v>
      </c>
      <c r="I268" s="7">
        <v>7</v>
      </c>
      <c r="J268" s="8">
        <f t="shared" si="4"/>
        <v>0.3</v>
      </c>
      <c r="K268" s="8"/>
      <c r="L268" s="8"/>
      <c r="M268" s="8"/>
      <c r="N268" s="8"/>
      <c r="O268" s="11"/>
      <c r="T268" s="7" t="s">
        <v>239</v>
      </c>
    </row>
    <row r="269" spans="1:20" x14ac:dyDescent="0.25">
      <c r="A269" s="7" t="s">
        <v>236</v>
      </c>
      <c r="B269" s="7" t="s">
        <v>151</v>
      </c>
      <c r="C269" s="7" t="s">
        <v>242</v>
      </c>
      <c r="D269" s="7" t="s">
        <v>243</v>
      </c>
      <c r="H269" s="7">
        <v>3</v>
      </c>
      <c r="I269" s="7">
        <v>7</v>
      </c>
      <c r="J269" s="8">
        <f t="shared" si="4"/>
        <v>0.3</v>
      </c>
      <c r="K269" s="8"/>
      <c r="L269" s="8"/>
      <c r="M269" s="8"/>
      <c r="N269" s="8"/>
      <c r="O269" s="11"/>
      <c r="T269" s="7" t="s">
        <v>241</v>
      </c>
    </row>
    <row r="270" spans="1:20" x14ac:dyDescent="0.25">
      <c r="A270" s="7" t="s">
        <v>236</v>
      </c>
      <c r="B270" s="7" t="s">
        <v>151</v>
      </c>
      <c r="C270" s="7" t="s">
        <v>583</v>
      </c>
      <c r="D270" s="7" t="s">
        <v>215</v>
      </c>
      <c r="H270" s="7">
        <v>2</v>
      </c>
      <c r="I270" s="7">
        <v>8</v>
      </c>
      <c r="J270" s="8">
        <f t="shared" si="4"/>
        <v>0.2</v>
      </c>
      <c r="K270" s="8"/>
      <c r="L270" s="8"/>
      <c r="M270" s="8"/>
      <c r="N270" s="8"/>
      <c r="O270" s="11"/>
      <c r="T270" s="7" t="s">
        <v>214</v>
      </c>
    </row>
    <row r="271" spans="1:20" x14ac:dyDescent="0.25">
      <c r="A271" s="7" t="s">
        <v>236</v>
      </c>
      <c r="B271" s="7" t="s">
        <v>151</v>
      </c>
      <c r="C271" s="7" t="s">
        <v>235</v>
      </c>
      <c r="D271" s="7" t="s">
        <v>159</v>
      </c>
      <c r="H271" s="7">
        <v>2</v>
      </c>
      <c r="I271" s="7">
        <v>8</v>
      </c>
      <c r="J271" s="8">
        <f t="shared" si="4"/>
        <v>0.2</v>
      </c>
      <c r="K271" s="8"/>
      <c r="L271" s="8"/>
      <c r="M271" s="8"/>
      <c r="N271" s="8"/>
      <c r="O271" s="11"/>
      <c r="T271" s="7" t="s">
        <v>234</v>
      </c>
    </row>
    <row r="272" spans="1:20" x14ac:dyDescent="0.25">
      <c r="A272" s="7" t="s">
        <v>236</v>
      </c>
      <c r="B272" s="7" t="s">
        <v>151</v>
      </c>
      <c r="C272" s="7" t="s">
        <v>245</v>
      </c>
      <c r="D272" s="7" t="s">
        <v>220</v>
      </c>
      <c r="H272" s="7">
        <v>2</v>
      </c>
      <c r="I272" s="7">
        <v>8</v>
      </c>
      <c r="J272" s="8">
        <f t="shared" si="4"/>
        <v>0.2</v>
      </c>
      <c r="K272" s="8"/>
      <c r="L272" s="8"/>
      <c r="M272" s="8"/>
      <c r="N272" s="8"/>
      <c r="O272" s="11"/>
      <c r="T272" s="7" t="s">
        <v>244</v>
      </c>
    </row>
    <row r="273" spans="1:20" x14ac:dyDescent="0.25">
      <c r="A273" s="7" t="s">
        <v>236</v>
      </c>
      <c r="B273" s="7" t="s">
        <v>151</v>
      </c>
      <c r="C273" s="7" t="s">
        <v>174</v>
      </c>
      <c r="D273" s="7" t="s">
        <v>166</v>
      </c>
      <c r="H273" s="7">
        <v>2</v>
      </c>
      <c r="I273" s="7">
        <v>8</v>
      </c>
      <c r="J273" s="8">
        <f t="shared" si="4"/>
        <v>0.2</v>
      </c>
      <c r="K273" s="8"/>
      <c r="L273" s="8"/>
      <c r="M273" s="8"/>
      <c r="N273" s="8"/>
      <c r="O273" s="11"/>
      <c r="T273" s="7" t="s">
        <v>174</v>
      </c>
    </row>
    <row r="274" spans="1:20" x14ac:dyDescent="0.25">
      <c r="A274" s="7" t="s">
        <v>246</v>
      </c>
      <c r="B274" s="7" t="s">
        <v>151</v>
      </c>
      <c r="C274" s="7" t="s">
        <v>188</v>
      </c>
      <c r="D274" s="7" t="s">
        <v>187</v>
      </c>
      <c r="H274" s="7">
        <v>10</v>
      </c>
      <c r="I274" s="7">
        <v>0</v>
      </c>
      <c r="J274" s="8">
        <f t="shared" si="4"/>
        <v>1</v>
      </c>
      <c r="K274" s="8" t="s">
        <v>30</v>
      </c>
      <c r="L274" s="8" t="s">
        <v>30</v>
      </c>
      <c r="M274" s="8" t="s">
        <v>30</v>
      </c>
      <c r="N274" s="8" t="s">
        <v>30</v>
      </c>
      <c r="O274" s="11"/>
      <c r="P274" s="7">
        <v>5</v>
      </c>
      <c r="Q274" s="7">
        <v>1</v>
      </c>
      <c r="R274" s="7">
        <v>3</v>
      </c>
      <c r="S274" s="7">
        <v>1</v>
      </c>
      <c r="T274" s="7" t="s">
        <v>188</v>
      </c>
    </row>
    <row r="275" spans="1:20" x14ac:dyDescent="0.25">
      <c r="A275" s="7" t="s">
        <v>246</v>
      </c>
      <c r="B275" s="7" t="s">
        <v>151</v>
      </c>
      <c r="C275" s="7" t="s">
        <v>581</v>
      </c>
      <c r="D275" s="7" t="s">
        <v>154</v>
      </c>
      <c r="H275" s="7">
        <v>9</v>
      </c>
      <c r="I275" s="7">
        <v>1</v>
      </c>
      <c r="J275" s="8">
        <f t="shared" si="4"/>
        <v>0.9</v>
      </c>
      <c r="K275" s="8" t="s">
        <v>30</v>
      </c>
      <c r="L275" s="8" t="s">
        <v>30</v>
      </c>
      <c r="M275" s="8" t="s">
        <v>30</v>
      </c>
      <c r="N275" s="8"/>
      <c r="O275" s="11"/>
      <c r="P275" s="7">
        <v>6</v>
      </c>
      <c r="Q275" s="7">
        <v>0</v>
      </c>
      <c r="R275" s="7">
        <v>3</v>
      </c>
      <c r="S275" s="7">
        <v>0</v>
      </c>
      <c r="T275" s="7" t="s">
        <v>581</v>
      </c>
    </row>
    <row r="276" spans="1:20" x14ac:dyDescent="0.25">
      <c r="A276" s="7" t="s">
        <v>246</v>
      </c>
      <c r="B276" s="7" t="s">
        <v>151</v>
      </c>
      <c r="C276" s="7" t="s">
        <v>162</v>
      </c>
      <c r="D276" s="7" t="s">
        <v>152</v>
      </c>
      <c r="H276" s="7">
        <v>7</v>
      </c>
      <c r="I276" s="7">
        <v>3</v>
      </c>
      <c r="J276" s="8">
        <f t="shared" si="4"/>
        <v>0.7</v>
      </c>
      <c r="K276" s="8" t="s">
        <v>30</v>
      </c>
      <c r="L276" s="8" t="s">
        <v>30</v>
      </c>
      <c r="M276" s="8" t="s">
        <v>30</v>
      </c>
      <c r="N276" s="8"/>
      <c r="O276" s="11"/>
      <c r="P276" s="7">
        <v>4</v>
      </c>
      <c r="Q276" s="7">
        <v>2</v>
      </c>
      <c r="R276" s="7">
        <v>3</v>
      </c>
      <c r="S276" s="7">
        <v>2</v>
      </c>
      <c r="T276" s="7" t="s">
        <v>162</v>
      </c>
    </row>
    <row r="277" spans="1:20" x14ac:dyDescent="0.25">
      <c r="A277" s="7" t="s">
        <v>246</v>
      </c>
      <c r="B277" s="7" t="s">
        <v>151</v>
      </c>
      <c r="C277" s="7" t="s">
        <v>149</v>
      </c>
      <c r="D277" s="7" t="s">
        <v>152</v>
      </c>
      <c r="H277" s="7">
        <v>6</v>
      </c>
      <c r="I277" s="7">
        <v>4</v>
      </c>
      <c r="J277" s="8">
        <f t="shared" si="4"/>
        <v>0.6</v>
      </c>
      <c r="K277" s="8" t="s">
        <v>30</v>
      </c>
      <c r="L277" s="8" t="s">
        <v>30</v>
      </c>
      <c r="M277" s="8" t="s">
        <v>30</v>
      </c>
      <c r="N277" s="8" t="s">
        <v>30</v>
      </c>
      <c r="O277" s="11" t="s">
        <v>30</v>
      </c>
      <c r="P277" s="7">
        <v>3</v>
      </c>
      <c r="Q277" s="7">
        <v>3</v>
      </c>
      <c r="R277" s="7">
        <v>3</v>
      </c>
      <c r="S277" s="7">
        <v>1</v>
      </c>
      <c r="T277" s="7" t="s">
        <v>149</v>
      </c>
    </row>
    <row r="278" spans="1:20" x14ac:dyDescent="0.25">
      <c r="A278" s="7" t="s">
        <v>246</v>
      </c>
      <c r="B278" s="7" t="s">
        <v>151</v>
      </c>
      <c r="C278" s="7" t="s">
        <v>230</v>
      </c>
      <c r="D278" s="7" t="s">
        <v>171</v>
      </c>
      <c r="H278" s="7">
        <v>8</v>
      </c>
      <c r="I278" s="7">
        <v>2</v>
      </c>
      <c r="J278" s="8">
        <f t="shared" si="4"/>
        <v>0.8</v>
      </c>
      <c r="K278" s="8" t="s">
        <v>30</v>
      </c>
      <c r="L278" s="8" t="s">
        <v>30</v>
      </c>
      <c r="M278" s="8"/>
      <c r="N278" s="8"/>
      <c r="O278" s="11"/>
      <c r="P278" s="7">
        <v>4</v>
      </c>
      <c r="Q278" s="7">
        <v>2</v>
      </c>
      <c r="R278" s="7">
        <v>1</v>
      </c>
      <c r="S278" s="7">
        <v>3</v>
      </c>
      <c r="T278" s="7" t="s">
        <v>584</v>
      </c>
    </row>
    <row r="279" spans="1:20" x14ac:dyDescent="0.25">
      <c r="A279" s="7" t="s">
        <v>246</v>
      </c>
      <c r="B279" s="7" t="s">
        <v>151</v>
      </c>
      <c r="C279" s="7" t="s">
        <v>155</v>
      </c>
      <c r="D279" s="7" t="s">
        <v>154</v>
      </c>
      <c r="H279" s="7">
        <v>8</v>
      </c>
      <c r="I279" s="7">
        <v>2</v>
      </c>
      <c r="J279" s="8">
        <f t="shared" si="4"/>
        <v>0.8</v>
      </c>
      <c r="K279" s="8" t="s">
        <v>30</v>
      </c>
      <c r="L279" s="8"/>
      <c r="M279" s="8"/>
      <c r="N279" s="8"/>
      <c r="O279" s="11"/>
      <c r="P279" s="7">
        <v>4</v>
      </c>
      <c r="Q279" s="7">
        <v>2</v>
      </c>
      <c r="T279" s="7" t="s">
        <v>155</v>
      </c>
    </row>
    <row r="280" spans="1:20" x14ac:dyDescent="0.25">
      <c r="A280" s="7" t="s">
        <v>246</v>
      </c>
      <c r="B280" s="7" t="s">
        <v>151</v>
      </c>
      <c r="C280" s="7" t="s">
        <v>169</v>
      </c>
      <c r="D280" s="7" t="s">
        <v>161</v>
      </c>
      <c r="H280" s="7">
        <v>7</v>
      </c>
      <c r="I280" s="7">
        <v>3</v>
      </c>
      <c r="J280" s="8">
        <f t="shared" si="4"/>
        <v>0.7</v>
      </c>
      <c r="K280" s="8" t="s">
        <v>30</v>
      </c>
      <c r="L280" s="8" t="s">
        <v>30</v>
      </c>
      <c r="M280" s="8"/>
      <c r="N280" s="8"/>
      <c r="O280" s="11"/>
      <c r="P280" s="7">
        <v>3</v>
      </c>
      <c r="Q280" s="7">
        <v>3</v>
      </c>
      <c r="R280" s="7">
        <v>2</v>
      </c>
      <c r="S280" s="7">
        <v>3</v>
      </c>
      <c r="T280" s="7" t="s">
        <v>169</v>
      </c>
    </row>
    <row r="281" spans="1:20" x14ac:dyDescent="0.25">
      <c r="A281" s="7" t="s">
        <v>246</v>
      </c>
      <c r="B281" s="7" t="s">
        <v>151</v>
      </c>
      <c r="C281" s="7" t="s">
        <v>189</v>
      </c>
      <c r="D281" s="7" t="s">
        <v>187</v>
      </c>
      <c r="H281" s="7">
        <v>7</v>
      </c>
      <c r="I281" s="7">
        <v>3</v>
      </c>
      <c r="J281" s="8">
        <f t="shared" si="4"/>
        <v>0.7</v>
      </c>
      <c r="K281" s="8" t="s">
        <v>30</v>
      </c>
      <c r="L281" s="8" t="s">
        <v>30</v>
      </c>
      <c r="M281" s="8"/>
      <c r="N281" s="8"/>
      <c r="O281" s="11"/>
      <c r="P281" s="7">
        <v>3</v>
      </c>
      <c r="Q281" s="7">
        <v>3</v>
      </c>
      <c r="R281" s="7">
        <v>0</v>
      </c>
      <c r="S281" s="7">
        <v>3</v>
      </c>
      <c r="T281" s="7" t="s">
        <v>189</v>
      </c>
    </row>
    <row r="282" spans="1:20" x14ac:dyDescent="0.25">
      <c r="A282" s="7" t="s">
        <v>246</v>
      </c>
      <c r="B282" s="7" t="s">
        <v>151</v>
      </c>
      <c r="C282" s="7" t="s">
        <v>156</v>
      </c>
      <c r="D282" s="7" t="s">
        <v>157</v>
      </c>
      <c r="H282" s="7">
        <v>6</v>
      </c>
      <c r="I282" s="7">
        <v>4</v>
      </c>
      <c r="J282" s="8">
        <f t="shared" si="4"/>
        <v>0.6</v>
      </c>
      <c r="K282" s="8" t="s">
        <v>30</v>
      </c>
      <c r="L282" s="8"/>
      <c r="M282" s="8"/>
      <c r="N282" s="8"/>
      <c r="O282" s="11"/>
      <c r="P282" s="7">
        <v>2</v>
      </c>
      <c r="Q282" s="7">
        <v>4</v>
      </c>
      <c r="T282" s="7" t="s">
        <v>156</v>
      </c>
    </row>
    <row r="283" spans="1:20" x14ac:dyDescent="0.25">
      <c r="A283" s="7" t="s">
        <v>246</v>
      </c>
      <c r="B283" s="7" t="s">
        <v>151</v>
      </c>
      <c r="C283" s="7" t="s">
        <v>247</v>
      </c>
      <c r="D283" s="7" t="s">
        <v>154</v>
      </c>
      <c r="H283" s="7">
        <v>5</v>
      </c>
      <c r="I283" s="7">
        <v>5</v>
      </c>
      <c r="J283" s="8">
        <f t="shared" si="4"/>
        <v>0.5</v>
      </c>
      <c r="K283" s="8" t="s">
        <v>30</v>
      </c>
      <c r="L283" s="8" t="s">
        <v>30</v>
      </c>
      <c r="M283" s="8"/>
      <c r="N283" s="8"/>
      <c r="O283" s="11"/>
      <c r="P283" s="7">
        <v>4</v>
      </c>
      <c r="Q283" s="7">
        <v>2</v>
      </c>
      <c r="R283" s="7">
        <v>1</v>
      </c>
      <c r="S283" s="7">
        <v>3</v>
      </c>
      <c r="T283" s="7" t="s">
        <v>247</v>
      </c>
    </row>
    <row r="284" spans="1:20" x14ac:dyDescent="0.25">
      <c r="A284" s="7" t="s">
        <v>246</v>
      </c>
      <c r="B284" s="7" t="s">
        <v>151</v>
      </c>
      <c r="C284" s="7" t="s">
        <v>240</v>
      </c>
      <c r="D284" s="7" t="s">
        <v>171</v>
      </c>
      <c r="H284" s="7">
        <v>5</v>
      </c>
      <c r="I284" s="7">
        <v>5</v>
      </c>
      <c r="J284" s="8">
        <f t="shared" si="4"/>
        <v>0.5</v>
      </c>
      <c r="K284" s="8" t="s">
        <v>30</v>
      </c>
      <c r="L284" s="8"/>
      <c r="M284" s="8"/>
      <c r="N284" s="8"/>
      <c r="O284" s="11"/>
      <c r="P284" s="7">
        <v>3</v>
      </c>
      <c r="Q284" s="7">
        <v>3</v>
      </c>
      <c r="T284" s="7" t="s">
        <v>239</v>
      </c>
    </row>
    <row r="285" spans="1:20" x14ac:dyDescent="0.25">
      <c r="A285" s="7" t="s">
        <v>246</v>
      </c>
      <c r="B285" s="7" t="s">
        <v>151</v>
      </c>
      <c r="C285" s="7" t="s">
        <v>178</v>
      </c>
      <c r="D285" s="7" t="s">
        <v>157</v>
      </c>
      <c r="H285" s="7">
        <v>5</v>
      </c>
      <c r="I285" s="7">
        <v>5</v>
      </c>
      <c r="J285" s="8">
        <f t="shared" si="4"/>
        <v>0.5</v>
      </c>
      <c r="K285" s="8" t="s">
        <v>30</v>
      </c>
      <c r="L285" s="8"/>
      <c r="M285" s="8"/>
      <c r="N285" s="8"/>
      <c r="O285" s="11"/>
      <c r="P285" s="7">
        <v>1</v>
      </c>
      <c r="Q285" s="7">
        <v>5</v>
      </c>
      <c r="T285" s="7" t="s">
        <v>178</v>
      </c>
    </row>
    <row r="286" spans="1:20" x14ac:dyDescent="0.25">
      <c r="A286" s="7" t="s">
        <v>246</v>
      </c>
      <c r="B286" s="7" t="s">
        <v>151</v>
      </c>
      <c r="C286" s="7" t="s">
        <v>170</v>
      </c>
      <c r="D286" s="7" t="s">
        <v>171</v>
      </c>
      <c r="H286" s="7">
        <v>4</v>
      </c>
      <c r="I286" s="7">
        <v>6</v>
      </c>
      <c r="J286" s="8">
        <f t="shared" si="4"/>
        <v>0.4</v>
      </c>
      <c r="K286" s="8" t="s">
        <v>30</v>
      </c>
      <c r="L286" s="8"/>
      <c r="M286" s="8"/>
      <c r="N286" s="8"/>
      <c r="O286" s="11"/>
      <c r="P286" s="7">
        <v>3</v>
      </c>
      <c r="Q286" s="7">
        <v>3</v>
      </c>
      <c r="T286" s="7" t="s">
        <v>170</v>
      </c>
    </row>
    <row r="287" spans="1:20" x14ac:dyDescent="0.25">
      <c r="A287" s="7" t="s">
        <v>246</v>
      </c>
      <c r="B287" s="7" t="s">
        <v>151</v>
      </c>
      <c r="C287" s="7" t="s">
        <v>248</v>
      </c>
      <c r="D287" s="7" t="s">
        <v>157</v>
      </c>
      <c r="H287" s="7">
        <v>4</v>
      </c>
      <c r="I287" s="7">
        <v>6</v>
      </c>
      <c r="J287" s="8">
        <f t="shared" si="4"/>
        <v>0.4</v>
      </c>
      <c r="K287" s="8" t="s">
        <v>30</v>
      </c>
      <c r="L287" s="8"/>
      <c r="M287" s="8"/>
      <c r="N287" s="8"/>
      <c r="O287" s="11"/>
      <c r="P287" s="7">
        <v>3</v>
      </c>
      <c r="Q287" s="7">
        <v>3</v>
      </c>
      <c r="T287" s="7" t="s">
        <v>204</v>
      </c>
    </row>
    <row r="288" spans="1:20" x14ac:dyDescent="0.25">
      <c r="A288" s="7" t="s">
        <v>246</v>
      </c>
      <c r="B288" s="7" t="s">
        <v>151</v>
      </c>
      <c r="C288" s="7" t="s">
        <v>158</v>
      </c>
      <c r="D288" s="7" t="s">
        <v>159</v>
      </c>
      <c r="H288" s="7">
        <v>4</v>
      </c>
      <c r="I288" s="7">
        <v>6</v>
      </c>
      <c r="J288" s="8">
        <f t="shared" si="4"/>
        <v>0.4</v>
      </c>
      <c r="K288" s="8" t="s">
        <v>30</v>
      </c>
      <c r="L288" s="8"/>
      <c r="M288" s="8"/>
      <c r="N288" s="8"/>
      <c r="O288" s="11"/>
      <c r="P288" s="7">
        <v>0</v>
      </c>
      <c r="Q288" s="7">
        <v>6</v>
      </c>
      <c r="T288" s="7" t="s">
        <v>158</v>
      </c>
    </row>
    <row r="289" spans="1:20" x14ac:dyDescent="0.25">
      <c r="A289" s="7" t="s">
        <v>246</v>
      </c>
      <c r="B289" s="7" t="s">
        <v>151</v>
      </c>
      <c r="C289" s="7" t="s">
        <v>201</v>
      </c>
      <c r="D289" s="7" t="s">
        <v>154</v>
      </c>
      <c r="H289" s="7">
        <v>4</v>
      </c>
      <c r="I289" s="7">
        <v>6</v>
      </c>
      <c r="J289" s="8">
        <f t="shared" si="4"/>
        <v>0.4</v>
      </c>
      <c r="K289" s="8" t="s">
        <v>30</v>
      </c>
      <c r="L289" s="8"/>
      <c r="M289" s="8"/>
      <c r="N289" s="8"/>
      <c r="O289" s="11"/>
      <c r="P289" s="7">
        <v>0</v>
      </c>
      <c r="Q289" s="7">
        <v>6</v>
      </c>
      <c r="T289" s="7" t="s">
        <v>201</v>
      </c>
    </row>
    <row r="290" spans="1:20" x14ac:dyDescent="0.25">
      <c r="A290" s="7" t="s">
        <v>246</v>
      </c>
      <c r="B290" s="7" t="s">
        <v>151</v>
      </c>
      <c r="C290" s="7" t="s">
        <v>211</v>
      </c>
      <c r="D290" s="7" t="s">
        <v>154</v>
      </c>
      <c r="H290" s="7">
        <v>5</v>
      </c>
      <c r="I290" s="7">
        <v>5</v>
      </c>
      <c r="J290" s="8">
        <f t="shared" si="4"/>
        <v>0.5</v>
      </c>
      <c r="K290" s="8"/>
      <c r="L290" s="8"/>
      <c r="M290" s="8"/>
      <c r="N290" s="8"/>
      <c r="O290" s="11"/>
      <c r="T290" s="7" t="s">
        <v>177</v>
      </c>
    </row>
    <row r="291" spans="1:20" x14ac:dyDescent="0.25">
      <c r="A291" s="7" t="s">
        <v>246</v>
      </c>
      <c r="B291" s="7" t="s">
        <v>151</v>
      </c>
      <c r="C291" s="7" t="s">
        <v>174</v>
      </c>
      <c r="D291" s="7" t="s">
        <v>166</v>
      </c>
      <c r="H291" s="7">
        <v>4</v>
      </c>
      <c r="I291" s="7">
        <v>6</v>
      </c>
      <c r="J291" s="8">
        <f t="shared" si="4"/>
        <v>0.4</v>
      </c>
      <c r="K291" s="8"/>
      <c r="L291" s="8"/>
      <c r="M291" s="8"/>
      <c r="N291" s="8"/>
      <c r="O291" s="11"/>
      <c r="T291" s="7" t="s">
        <v>174</v>
      </c>
    </row>
    <row r="292" spans="1:20" x14ac:dyDescent="0.25">
      <c r="A292" s="7" t="s">
        <v>246</v>
      </c>
      <c r="B292" s="7" t="s">
        <v>151</v>
      </c>
      <c r="C292" s="7" t="s">
        <v>249</v>
      </c>
      <c r="D292" s="7" t="s">
        <v>164</v>
      </c>
      <c r="H292" s="7">
        <v>3</v>
      </c>
      <c r="I292" s="7">
        <v>7</v>
      </c>
      <c r="J292" s="8">
        <f t="shared" si="4"/>
        <v>0.3</v>
      </c>
      <c r="K292" s="8"/>
      <c r="L292" s="8"/>
      <c r="M292" s="8"/>
      <c r="N292" s="8"/>
      <c r="O292" s="11"/>
      <c r="T292" s="7" t="s">
        <v>249</v>
      </c>
    </row>
    <row r="293" spans="1:20" x14ac:dyDescent="0.25">
      <c r="A293" s="7" t="s">
        <v>246</v>
      </c>
      <c r="B293" s="7" t="s">
        <v>151</v>
      </c>
      <c r="C293" s="7" t="s">
        <v>213</v>
      </c>
      <c r="D293" s="7" t="s">
        <v>173</v>
      </c>
      <c r="H293" s="7">
        <v>3</v>
      </c>
      <c r="I293" s="7">
        <v>7</v>
      </c>
      <c r="J293" s="8">
        <f t="shared" si="4"/>
        <v>0.3</v>
      </c>
      <c r="K293" s="8"/>
      <c r="L293" s="8"/>
      <c r="M293" s="8"/>
      <c r="N293" s="8"/>
      <c r="O293" s="11"/>
      <c r="T293" s="7" t="s">
        <v>582</v>
      </c>
    </row>
    <row r="294" spans="1:20" x14ac:dyDescent="0.25">
      <c r="A294" s="7" t="s">
        <v>246</v>
      </c>
      <c r="B294" s="7" t="s">
        <v>151</v>
      </c>
      <c r="C294" s="7" t="s">
        <v>250</v>
      </c>
      <c r="D294" s="7" t="s">
        <v>251</v>
      </c>
      <c r="H294" s="7">
        <v>2</v>
      </c>
      <c r="I294" s="7">
        <v>8</v>
      </c>
      <c r="J294" s="8">
        <f t="shared" si="4"/>
        <v>0.2</v>
      </c>
      <c r="K294" s="8"/>
      <c r="L294" s="8"/>
      <c r="M294" s="8"/>
      <c r="N294" s="8"/>
      <c r="O294" s="11"/>
      <c r="T294" s="7" t="s">
        <v>250</v>
      </c>
    </row>
    <row r="295" spans="1:20" x14ac:dyDescent="0.25">
      <c r="A295" s="7" t="s">
        <v>246</v>
      </c>
      <c r="B295" s="7" t="s">
        <v>151</v>
      </c>
      <c r="C295" s="7" t="s">
        <v>252</v>
      </c>
      <c r="D295" s="7" t="s">
        <v>215</v>
      </c>
      <c r="H295" s="7">
        <v>2</v>
      </c>
      <c r="I295" s="7">
        <v>8</v>
      </c>
      <c r="J295" s="8">
        <f t="shared" si="4"/>
        <v>0.2</v>
      </c>
      <c r="K295" s="8"/>
      <c r="L295" s="8"/>
      <c r="M295" s="8"/>
      <c r="N295" s="8"/>
      <c r="O295" s="11"/>
      <c r="T295" s="7" t="s">
        <v>252</v>
      </c>
    </row>
    <row r="296" spans="1:20" x14ac:dyDescent="0.25">
      <c r="A296" s="7" t="s">
        <v>246</v>
      </c>
      <c r="B296" s="7" t="s">
        <v>151</v>
      </c>
      <c r="C296" s="7" t="s">
        <v>245</v>
      </c>
      <c r="D296" s="7" t="s">
        <v>220</v>
      </c>
      <c r="H296" s="7">
        <v>1</v>
      </c>
      <c r="I296" s="7">
        <v>9</v>
      </c>
      <c r="J296" s="8">
        <f t="shared" si="4"/>
        <v>0.1</v>
      </c>
      <c r="K296" s="8"/>
      <c r="L296" s="8"/>
      <c r="M296" s="8"/>
      <c r="N296" s="8"/>
      <c r="O296" s="11"/>
      <c r="T296" s="7" t="s">
        <v>244</v>
      </c>
    </row>
    <row r="297" spans="1:20" x14ac:dyDescent="0.25">
      <c r="A297" s="7" t="s">
        <v>246</v>
      </c>
      <c r="B297" s="7" t="s">
        <v>151</v>
      </c>
      <c r="C297" s="7" t="s">
        <v>242</v>
      </c>
      <c r="D297" s="7" t="s">
        <v>243</v>
      </c>
      <c r="H297" s="7">
        <v>1</v>
      </c>
      <c r="I297" s="7">
        <v>9</v>
      </c>
      <c r="J297" s="8">
        <f t="shared" si="4"/>
        <v>0.1</v>
      </c>
      <c r="K297" s="8"/>
      <c r="L297" s="8"/>
      <c r="M297" s="8"/>
      <c r="N297" s="8"/>
      <c r="O297" s="11"/>
      <c r="T297" s="7" t="s">
        <v>241</v>
      </c>
    </row>
    <row r="298" spans="1:20" x14ac:dyDescent="0.25">
      <c r="A298" s="7" t="s">
        <v>253</v>
      </c>
      <c r="B298" s="7" t="s">
        <v>151</v>
      </c>
      <c r="C298" s="7" t="s">
        <v>169</v>
      </c>
      <c r="D298" s="7" t="s">
        <v>161</v>
      </c>
      <c r="H298" s="7">
        <v>9</v>
      </c>
      <c r="I298" s="7">
        <v>1</v>
      </c>
      <c r="J298" s="8">
        <f t="shared" si="4"/>
        <v>0.9</v>
      </c>
      <c r="K298" s="8" t="s">
        <v>30</v>
      </c>
      <c r="L298" s="8" t="s">
        <v>30</v>
      </c>
      <c r="M298" s="8" t="s">
        <v>30</v>
      </c>
      <c r="N298" s="8" t="s">
        <v>30</v>
      </c>
      <c r="O298" s="11"/>
      <c r="P298" s="7">
        <v>3</v>
      </c>
      <c r="Q298" s="7">
        <v>3</v>
      </c>
      <c r="R298" s="7">
        <v>3</v>
      </c>
      <c r="S298" s="7">
        <v>1</v>
      </c>
      <c r="T298" s="7" t="s">
        <v>169</v>
      </c>
    </row>
    <row r="299" spans="1:20" x14ac:dyDescent="0.25">
      <c r="A299" s="7" t="s">
        <v>253</v>
      </c>
      <c r="B299" s="7" t="s">
        <v>151</v>
      </c>
      <c r="C299" s="7" t="s">
        <v>230</v>
      </c>
      <c r="D299" s="7" t="s">
        <v>171</v>
      </c>
      <c r="H299" s="7">
        <v>8</v>
      </c>
      <c r="I299" s="7">
        <v>2</v>
      </c>
      <c r="J299" s="8">
        <f t="shared" si="4"/>
        <v>0.8</v>
      </c>
      <c r="K299" s="8" t="s">
        <v>30</v>
      </c>
      <c r="L299" s="8" t="s">
        <v>30</v>
      </c>
      <c r="M299" s="8" t="s">
        <v>30</v>
      </c>
      <c r="N299" s="8"/>
      <c r="O299" s="11"/>
      <c r="P299" s="7">
        <v>4</v>
      </c>
      <c r="Q299" s="7">
        <v>2</v>
      </c>
      <c r="R299" s="7">
        <v>3</v>
      </c>
      <c r="S299" s="7">
        <v>1</v>
      </c>
      <c r="T299" s="7" t="s">
        <v>584</v>
      </c>
    </row>
    <row r="300" spans="1:20" x14ac:dyDescent="0.25">
      <c r="A300" s="7" t="s">
        <v>253</v>
      </c>
      <c r="B300" s="7" t="s">
        <v>151</v>
      </c>
      <c r="C300" s="7" t="s">
        <v>162</v>
      </c>
      <c r="D300" s="7" t="s">
        <v>152</v>
      </c>
      <c r="H300" s="7">
        <v>7</v>
      </c>
      <c r="I300" s="7">
        <v>3</v>
      </c>
      <c r="J300" s="8">
        <f t="shared" si="4"/>
        <v>0.7</v>
      </c>
      <c r="K300" s="8" t="s">
        <v>30</v>
      </c>
      <c r="L300" s="8" t="s">
        <v>30</v>
      </c>
      <c r="M300" s="8" t="s">
        <v>30</v>
      </c>
      <c r="N300" s="8" t="s">
        <v>30</v>
      </c>
      <c r="O300" s="11" t="s">
        <v>30</v>
      </c>
      <c r="P300" s="7">
        <v>4</v>
      </c>
      <c r="Q300" s="7">
        <v>2</v>
      </c>
      <c r="R300" s="7">
        <v>3</v>
      </c>
      <c r="S300" s="7">
        <v>1</v>
      </c>
      <c r="T300" s="7" t="s">
        <v>162</v>
      </c>
    </row>
    <row r="301" spans="1:20" x14ac:dyDescent="0.25">
      <c r="A301" s="7" t="s">
        <v>253</v>
      </c>
      <c r="B301" s="7" t="s">
        <v>151</v>
      </c>
      <c r="C301" s="7" t="s">
        <v>155</v>
      </c>
      <c r="D301" s="7" t="s">
        <v>154</v>
      </c>
      <c r="H301" s="7">
        <v>6</v>
      </c>
      <c r="I301" s="7">
        <v>4</v>
      </c>
      <c r="J301" s="8">
        <f t="shared" si="4"/>
        <v>0.6</v>
      </c>
      <c r="K301" s="8" t="s">
        <v>30</v>
      </c>
      <c r="L301" s="8" t="s">
        <v>30</v>
      </c>
      <c r="M301" s="8" t="s">
        <v>30</v>
      </c>
      <c r="N301" s="8"/>
      <c r="O301" s="11"/>
      <c r="P301" s="7">
        <v>5</v>
      </c>
      <c r="Q301" s="7">
        <v>1</v>
      </c>
      <c r="R301" s="7">
        <v>3</v>
      </c>
      <c r="S301" s="7">
        <v>2</v>
      </c>
      <c r="T301" s="7" t="s">
        <v>155</v>
      </c>
    </row>
    <row r="302" spans="1:20" x14ac:dyDescent="0.25">
      <c r="A302" s="7" t="s">
        <v>253</v>
      </c>
      <c r="B302" s="7" t="s">
        <v>151</v>
      </c>
      <c r="C302" s="7" t="s">
        <v>581</v>
      </c>
      <c r="D302" s="7" t="s">
        <v>154</v>
      </c>
      <c r="H302" s="7">
        <v>7</v>
      </c>
      <c r="I302" s="7">
        <v>3</v>
      </c>
      <c r="J302" s="8">
        <f t="shared" si="4"/>
        <v>0.7</v>
      </c>
      <c r="K302" s="8" t="s">
        <v>30</v>
      </c>
      <c r="L302" s="8" t="s">
        <v>30</v>
      </c>
      <c r="M302" s="8"/>
      <c r="N302" s="8"/>
      <c r="O302" s="11"/>
      <c r="P302" s="7">
        <v>6</v>
      </c>
      <c r="Q302" s="7">
        <v>0</v>
      </c>
      <c r="R302" s="7">
        <v>1</v>
      </c>
      <c r="S302" s="7">
        <v>3</v>
      </c>
      <c r="T302" s="7" t="s">
        <v>581</v>
      </c>
    </row>
    <row r="303" spans="1:20" x14ac:dyDescent="0.25">
      <c r="A303" s="7" t="s">
        <v>253</v>
      </c>
      <c r="B303" s="7" t="s">
        <v>151</v>
      </c>
      <c r="C303" s="7" t="s">
        <v>149</v>
      </c>
      <c r="D303" s="7" t="s">
        <v>152</v>
      </c>
      <c r="H303" s="7">
        <v>7</v>
      </c>
      <c r="I303" s="7">
        <v>3</v>
      </c>
      <c r="J303" s="8">
        <f t="shared" si="4"/>
        <v>0.7</v>
      </c>
      <c r="K303" s="8" t="s">
        <v>30</v>
      </c>
      <c r="L303" s="8" t="s">
        <v>30</v>
      </c>
      <c r="M303" s="8"/>
      <c r="N303" s="8"/>
      <c r="O303" s="11"/>
      <c r="P303" s="7">
        <v>5</v>
      </c>
      <c r="Q303" s="7">
        <v>1</v>
      </c>
      <c r="R303" s="7">
        <v>1</v>
      </c>
      <c r="S303" s="7">
        <v>3</v>
      </c>
      <c r="T303" s="7" t="s">
        <v>149</v>
      </c>
    </row>
    <row r="304" spans="1:20" x14ac:dyDescent="0.25">
      <c r="A304" s="7" t="s">
        <v>253</v>
      </c>
      <c r="B304" s="7" t="s">
        <v>151</v>
      </c>
      <c r="C304" s="7" t="s">
        <v>156</v>
      </c>
      <c r="D304" s="7" t="s">
        <v>157</v>
      </c>
      <c r="H304" s="7">
        <v>7</v>
      </c>
      <c r="I304" s="7">
        <v>3</v>
      </c>
      <c r="J304" s="8">
        <f t="shared" si="4"/>
        <v>0.7</v>
      </c>
      <c r="K304" s="8" t="s">
        <v>30</v>
      </c>
      <c r="L304" s="8"/>
      <c r="M304" s="8"/>
      <c r="N304" s="8"/>
      <c r="O304" s="11"/>
      <c r="P304" s="7">
        <v>3</v>
      </c>
      <c r="Q304" s="7">
        <v>3</v>
      </c>
      <c r="T304" s="7" t="s">
        <v>156</v>
      </c>
    </row>
    <row r="305" spans="1:20" x14ac:dyDescent="0.25">
      <c r="A305" s="7" t="s">
        <v>253</v>
      </c>
      <c r="B305" s="7" t="s">
        <v>151</v>
      </c>
      <c r="C305" s="7" t="s">
        <v>242</v>
      </c>
      <c r="D305" s="7" t="s">
        <v>243</v>
      </c>
      <c r="H305" s="7">
        <v>6</v>
      </c>
      <c r="I305" s="7">
        <v>4</v>
      </c>
      <c r="J305" s="8">
        <f t="shared" si="4"/>
        <v>0.6</v>
      </c>
      <c r="K305" s="8" t="s">
        <v>30</v>
      </c>
      <c r="L305" s="8"/>
      <c r="M305" s="8"/>
      <c r="N305" s="8"/>
      <c r="O305" s="11"/>
      <c r="P305" s="7">
        <v>1</v>
      </c>
      <c r="Q305" s="7">
        <v>5</v>
      </c>
      <c r="T305" s="7" t="s">
        <v>241</v>
      </c>
    </row>
    <row r="306" spans="1:20" x14ac:dyDescent="0.25">
      <c r="A306" s="7" t="s">
        <v>253</v>
      </c>
      <c r="B306" s="7" t="s">
        <v>151</v>
      </c>
      <c r="C306" s="7" t="s">
        <v>254</v>
      </c>
      <c r="D306" s="7" t="s">
        <v>154</v>
      </c>
      <c r="H306" s="7">
        <v>5</v>
      </c>
      <c r="I306" s="7">
        <v>5</v>
      </c>
      <c r="J306" s="8">
        <f t="shared" si="4"/>
        <v>0.5</v>
      </c>
      <c r="K306" s="8" t="s">
        <v>30</v>
      </c>
      <c r="L306" s="8" t="s">
        <v>30</v>
      </c>
      <c r="M306" s="8"/>
      <c r="N306" s="8"/>
      <c r="O306" s="11"/>
      <c r="P306" s="7">
        <v>4</v>
      </c>
      <c r="Q306" s="7">
        <v>2</v>
      </c>
      <c r="R306" s="7">
        <v>1</v>
      </c>
      <c r="S306" s="7">
        <v>3</v>
      </c>
      <c r="T306" s="7" t="s">
        <v>177</v>
      </c>
    </row>
    <row r="307" spans="1:20" x14ac:dyDescent="0.25">
      <c r="A307" s="7" t="s">
        <v>253</v>
      </c>
      <c r="B307" s="7" t="s">
        <v>151</v>
      </c>
      <c r="C307" s="7" t="s">
        <v>153</v>
      </c>
      <c r="D307" s="7" t="s">
        <v>154</v>
      </c>
      <c r="H307" s="7">
        <v>5</v>
      </c>
      <c r="I307" s="7">
        <v>5</v>
      </c>
      <c r="J307" s="8">
        <f t="shared" si="4"/>
        <v>0.5</v>
      </c>
      <c r="K307" s="8" t="s">
        <v>30</v>
      </c>
      <c r="L307" s="8" t="s">
        <v>30</v>
      </c>
      <c r="M307" s="8"/>
      <c r="N307" s="8"/>
      <c r="O307" s="11"/>
      <c r="P307" s="7">
        <v>3</v>
      </c>
      <c r="Q307" s="7">
        <v>3</v>
      </c>
      <c r="R307" s="7">
        <v>2</v>
      </c>
      <c r="S307" s="7">
        <v>3</v>
      </c>
      <c r="T307" s="7" t="s">
        <v>153</v>
      </c>
    </row>
    <row r="308" spans="1:20" x14ac:dyDescent="0.25">
      <c r="A308" s="7" t="s">
        <v>253</v>
      </c>
      <c r="B308" s="7" t="s">
        <v>151</v>
      </c>
      <c r="C308" s="7" t="s">
        <v>255</v>
      </c>
      <c r="D308" s="7" t="s">
        <v>171</v>
      </c>
      <c r="H308" s="7">
        <v>5</v>
      </c>
      <c r="I308" s="7">
        <v>5</v>
      </c>
      <c r="J308" s="8">
        <f t="shared" si="4"/>
        <v>0.5</v>
      </c>
      <c r="K308" s="8" t="s">
        <v>30</v>
      </c>
      <c r="L308" s="8"/>
      <c r="M308" s="8"/>
      <c r="N308" s="8"/>
      <c r="O308" s="11"/>
      <c r="P308" s="7">
        <v>2</v>
      </c>
      <c r="Q308" s="7">
        <v>4</v>
      </c>
      <c r="T308" s="7" t="s">
        <v>255</v>
      </c>
    </row>
    <row r="309" spans="1:20" x14ac:dyDescent="0.25">
      <c r="A309" s="7" t="s">
        <v>253</v>
      </c>
      <c r="B309" s="7" t="s">
        <v>151</v>
      </c>
      <c r="C309" s="7" t="s">
        <v>178</v>
      </c>
      <c r="D309" s="7" t="s">
        <v>157</v>
      </c>
      <c r="H309" s="7">
        <v>5</v>
      </c>
      <c r="I309" s="7">
        <v>5</v>
      </c>
      <c r="J309" s="8">
        <f t="shared" si="4"/>
        <v>0.5</v>
      </c>
      <c r="K309" s="8" t="s">
        <v>30</v>
      </c>
      <c r="L309" s="8"/>
      <c r="M309" s="8"/>
      <c r="N309" s="8"/>
      <c r="O309" s="11"/>
      <c r="P309" s="7">
        <v>2</v>
      </c>
      <c r="Q309" s="7">
        <v>4</v>
      </c>
      <c r="T309" s="7" t="s">
        <v>178</v>
      </c>
    </row>
    <row r="310" spans="1:20" x14ac:dyDescent="0.25">
      <c r="A310" s="7" t="s">
        <v>253</v>
      </c>
      <c r="B310" s="7" t="s">
        <v>151</v>
      </c>
      <c r="C310" s="7" t="s">
        <v>158</v>
      </c>
      <c r="D310" s="7" t="s">
        <v>159</v>
      </c>
      <c r="H310" s="7">
        <v>5</v>
      </c>
      <c r="I310" s="7">
        <v>5</v>
      </c>
      <c r="J310" s="8">
        <f t="shared" si="4"/>
        <v>0.5</v>
      </c>
      <c r="K310" s="8" t="s">
        <v>30</v>
      </c>
      <c r="L310" s="8"/>
      <c r="M310" s="8"/>
      <c r="N310" s="8"/>
      <c r="O310" s="11"/>
      <c r="P310" s="7">
        <v>1</v>
      </c>
      <c r="Q310" s="7">
        <v>5</v>
      </c>
      <c r="T310" s="7" t="s">
        <v>158</v>
      </c>
    </row>
    <row r="311" spans="1:20" x14ac:dyDescent="0.25">
      <c r="A311" s="7" t="s">
        <v>253</v>
      </c>
      <c r="B311" s="7" t="s">
        <v>151</v>
      </c>
      <c r="C311" s="7" t="s">
        <v>174</v>
      </c>
      <c r="D311" s="7" t="s">
        <v>166</v>
      </c>
      <c r="H311" s="7">
        <v>5</v>
      </c>
      <c r="I311" s="7">
        <v>5</v>
      </c>
      <c r="J311" s="8">
        <f t="shared" si="4"/>
        <v>0.5</v>
      </c>
      <c r="K311" s="8" t="s">
        <v>30</v>
      </c>
      <c r="L311" s="8"/>
      <c r="M311" s="8"/>
      <c r="N311" s="8"/>
      <c r="O311" s="11"/>
      <c r="P311" s="7">
        <v>1</v>
      </c>
      <c r="Q311" s="7">
        <v>5</v>
      </c>
      <c r="T311" s="7" t="s">
        <v>174</v>
      </c>
    </row>
    <row r="312" spans="1:20" x14ac:dyDescent="0.25">
      <c r="A312" s="7" t="s">
        <v>253</v>
      </c>
      <c r="B312" s="7" t="s">
        <v>151</v>
      </c>
      <c r="C312" s="7" t="s">
        <v>201</v>
      </c>
      <c r="D312" s="7" t="s">
        <v>154</v>
      </c>
      <c r="H312" s="7">
        <v>5</v>
      </c>
      <c r="I312" s="7">
        <v>5</v>
      </c>
      <c r="J312" s="8">
        <f t="shared" si="4"/>
        <v>0.5</v>
      </c>
      <c r="K312" s="8" t="s">
        <v>30</v>
      </c>
      <c r="L312" s="8"/>
      <c r="M312" s="8"/>
      <c r="N312" s="8"/>
      <c r="O312" s="11"/>
      <c r="P312" s="7">
        <v>1</v>
      </c>
      <c r="Q312" s="7">
        <v>5</v>
      </c>
      <c r="T312" s="7" t="s">
        <v>201</v>
      </c>
    </row>
    <row r="313" spans="1:20" x14ac:dyDescent="0.25">
      <c r="A313" s="7" t="s">
        <v>253</v>
      </c>
      <c r="B313" s="7" t="s">
        <v>151</v>
      </c>
      <c r="C313" s="7" t="s">
        <v>235</v>
      </c>
      <c r="D313" s="7" t="s">
        <v>159</v>
      </c>
      <c r="H313" s="7">
        <v>4</v>
      </c>
      <c r="I313" s="7">
        <v>6</v>
      </c>
      <c r="J313" s="8">
        <f t="shared" si="4"/>
        <v>0.4</v>
      </c>
      <c r="K313" s="8" t="s">
        <v>30</v>
      </c>
      <c r="L313" s="8"/>
      <c r="M313" s="8"/>
      <c r="N313" s="8"/>
      <c r="O313" s="11"/>
      <c r="P313" s="7">
        <v>3</v>
      </c>
      <c r="Q313" s="7">
        <v>3</v>
      </c>
      <c r="T313" s="7" t="s">
        <v>234</v>
      </c>
    </row>
    <row r="314" spans="1:20" x14ac:dyDescent="0.25">
      <c r="A314" s="7" t="s">
        <v>253</v>
      </c>
      <c r="B314" s="7" t="s">
        <v>151</v>
      </c>
      <c r="C314" s="7" t="s">
        <v>256</v>
      </c>
      <c r="D314" s="7" t="s">
        <v>164</v>
      </c>
      <c r="H314" s="7">
        <v>4</v>
      </c>
      <c r="I314" s="7">
        <v>6</v>
      </c>
      <c r="J314" s="8">
        <f t="shared" si="4"/>
        <v>0.4</v>
      </c>
      <c r="K314" s="8"/>
      <c r="L314" s="8"/>
      <c r="M314" s="8"/>
      <c r="N314" s="8"/>
      <c r="O314" s="11"/>
      <c r="T314" s="7" t="s">
        <v>256</v>
      </c>
    </row>
    <row r="315" spans="1:20" x14ac:dyDescent="0.25">
      <c r="A315" s="7" t="s">
        <v>253</v>
      </c>
      <c r="B315" s="7" t="s">
        <v>151</v>
      </c>
      <c r="C315" s="7" t="s">
        <v>213</v>
      </c>
      <c r="D315" s="7" t="s">
        <v>173</v>
      </c>
      <c r="H315" s="7">
        <v>4</v>
      </c>
      <c r="I315" s="7">
        <v>6</v>
      </c>
      <c r="J315" s="8">
        <f t="shared" si="4"/>
        <v>0.4</v>
      </c>
      <c r="K315" s="8"/>
      <c r="L315" s="8"/>
      <c r="M315" s="8"/>
      <c r="N315" s="8"/>
      <c r="O315" s="11"/>
      <c r="T315" s="7" t="s">
        <v>582</v>
      </c>
    </row>
    <row r="316" spans="1:20" x14ac:dyDescent="0.25">
      <c r="A316" s="7" t="s">
        <v>253</v>
      </c>
      <c r="B316" s="7" t="s">
        <v>151</v>
      </c>
      <c r="C316" s="7" t="s">
        <v>170</v>
      </c>
      <c r="D316" s="7" t="s">
        <v>171</v>
      </c>
      <c r="H316" s="7">
        <v>4</v>
      </c>
      <c r="I316" s="7">
        <v>6</v>
      </c>
      <c r="J316" s="8">
        <f t="shared" si="4"/>
        <v>0.4</v>
      </c>
      <c r="K316" s="8"/>
      <c r="L316" s="8"/>
      <c r="M316" s="8"/>
      <c r="N316" s="8"/>
      <c r="O316" s="11"/>
      <c r="T316" s="7" t="s">
        <v>170</v>
      </c>
    </row>
    <row r="317" spans="1:20" x14ac:dyDescent="0.25">
      <c r="A317" s="7" t="s">
        <v>253</v>
      </c>
      <c r="B317" s="7" t="s">
        <v>151</v>
      </c>
      <c r="C317" s="7" t="s">
        <v>192</v>
      </c>
      <c r="D317" s="7" t="s">
        <v>187</v>
      </c>
      <c r="H317" s="7">
        <v>4</v>
      </c>
      <c r="I317" s="7">
        <v>6</v>
      </c>
      <c r="J317" s="8">
        <f t="shared" si="4"/>
        <v>0.4</v>
      </c>
      <c r="K317" s="8"/>
      <c r="L317" s="8"/>
      <c r="M317" s="8"/>
      <c r="N317" s="8"/>
      <c r="O317" s="11"/>
      <c r="T317" s="7" t="s">
        <v>192</v>
      </c>
    </row>
    <row r="318" spans="1:20" x14ac:dyDescent="0.25">
      <c r="A318" s="7" t="s">
        <v>253</v>
      </c>
      <c r="B318" s="7" t="s">
        <v>151</v>
      </c>
      <c r="C318" s="7" t="s">
        <v>250</v>
      </c>
      <c r="D318" s="7" t="s">
        <v>251</v>
      </c>
      <c r="H318" s="7">
        <v>3</v>
      </c>
      <c r="I318" s="7">
        <v>7</v>
      </c>
      <c r="J318" s="8">
        <f t="shared" si="4"/>
        <v>0.3</v>
      </c>
      <c r="K318" s="8"/>
      <c r="L318" s="8"/>
      <c r="M318" s="8"/>
      <c r="N318" s="8"/>
      <c r="O318" s="11"/>
      <c r="T318" s="7" t="s">
        <v>250</v>
      </c>
    </row>
    <row r="319" spans="1:20" x14ac:dyDescent="0.25">
      <c r="A319" s="7" t="s">
        <v>253</v>
      </c>
      <c r="B319" s="7" t="s">
        <v>151</v>
      </c>
      <c r="C319" s="7" t="s">
        <v>188</v>
      </c>
      <c r="D319" s="7" t="s">
        <v>187</v>
      </c>
      <c r="H319" s="7">
        <v>3</v>
      </c>
      <c r="I319" s="7">
        <v>7</v>
      </c>
      <c r="J319" s="8">
        <f t="shared" si="4"/>
        <v>0.3</v>
      </c>
      <c r="K319" s="8"/>
      <c r="L319" s="8"/>
      <c r="M319" s="8"/>
      <c r="N319" s="8"/>
      <c r="O319" s="11"/>
      <c r="T319" s="7" t="s">
        <v>188</v>
      </c>
    </row>
    <row r="320" spans="1:20" x14ac:dyDescent="0.25">
      <c r="A320" s="7" t="s">
        <v>253</v>
      </c>
      <c r="B320" s="7" t="s">
        <v>151</v>
      </c>
      <c r="C320" s="7" t="s">
        <v>245</v>
      </c>
      <c r="D320" s="7" t="s">
        <v>220</v>
      </c>
      <c r="H320" s="7">
        <v>2</v>
      </c>
      <c r="I320" s="7">
        <v>8</v>
      </c>
      <c r="J320" s="8">
        <f t="shared" si="4"/>
        <v>0.2</v>
      </c>
      <c r="K320" s="8"/>
      <c r="L320" s="8"/>
      <c r="M320" s="8"/>
      <c r="N320" s="8"/>
      <c r="O320" s="11"/>
      <c r="T320" s="7" t="s">
        <v>244</v>
      </c>
    </row>
    <row r="321" spans="1:20" x14ac:dyDescent="0.25">
      <c r="A321" s="7" t="s">
        <v>253</v>
      </c>
      <c r="B321" s="7" t="s">
        <v>151</v>
      </c>
      <c r="C321" s="7" t="s">
        <v>257</v>
      </c>
      <c r="D321" s="7" t="s">
        <v>215</v>
      </c>
      <c r="H321" s="7">
        <v>0</v>
      </c>
      <c r="I321" s="7">
        <v>10</v>
      </c>
      <c r="J321" s="8">
        <f t="shared" si="4"/>
        <v>0</v>
      </c>
      <c r="K321" s="8"/>
      <c r="L321" s="8"/>
      <c r="M321" s="8"/>
      <c r="N321" s="8"/>
      <c r="O321" s="11"/>
      <c r="T321" s="7" t="s">
        <v>257</v>
      </c>
    </row>
    <row r="322" spans="1:20" x14ac:dyDescent="0.25">
      <c r="A322" s="7" t="s">
        <v>258</v>
      </c>
      <c r="B322" s="7" t="s">
        <v>151</v>
      </c>
      <c r="C322" s="7" t="s">
        <v>581</v>
      </c>
      <c r="D322" s="7" t="s">
        <v>154</v>
      </c>
      <c r="H322" s="7">
        <v>10</v>
      </c>
      <c r="I322" s="7">
        <v>0</v>
      </c>
      <c r="J322" s="8">
        <f t="shared" ref="J322:J385" si="5">H322/SUM(H322:I322)</f>
        <v>1</v>
      </c>
      <c r="K322" s="8" t="s">
        <v>30</v>
      </c>
      <c r="L322" s="8" t="s">
        <v>30</v>
      </c>
      <c r="M322" s="8" t="s">
        <v>30</v>
      </c>
      <c r="N322" s="8" t="s">
        <v>30</v>
      </c>
      <c r="O322" s="11" t="s">
        <v>30</v>
      </c>
      <c r="P322" s="7">
        <v>5</v>
      </c>
      <c r="Q322" s="7">
        <v>1</v>
      </c>
      <c r="R322" s="7">
        <v>3</v>
      </c>
      <c r="S322" s="7">
        <v>1</v>
      </c>
      <c r="T322" s="7" t="s">
        <v>581</v>
      </c>
    </row>
    <row r="323" spans="1:20" x14ac:dyDescent="0.25">
      <c r="A323" s="7" t="s">
        <v>258</v>
      </c>
      <c r="B323" s="7" t="s">
        <v>151</v>
      </c>
      <c r="C323" s="7" t="s">
        <v>149</v>
      </c>
      <c r="D323" s="7" t="s">
        <v>152</v>
      </c>
      <c r="H323" s="7">
        <v>8</v>
      </c>
      <c r="I323" s="7">
        <v>2</v>
      </c>
      <c r="J323" s="8">
        <f t="shared" si="5"/>
        <v>0.8</v>
      </c>
      <c r="K323" s="8" t="s">
        <v>30</v>
      </c>
      <c r="L323" s="8" t="s">
        <v>30</v>
      </c>
      <c r="M323" s="8" t="s">
        <v>30</v>
      </c>
      <c r="N323" s="8" t="s">
        <v>30</v>
      </c>
      <c r="O323" s="11"/>
      <c r="P323" s="7">
        <v>5</v>
      </c>
      <c r="Q323" s="7">
        <v>1</v>
      </c>
      <c r="R323" s="7">
        <v>3</v>
      </c>
      <c r="S323" s="7">
        <v>1</v>
      </c>
      <c r="T323" s="7" t="s">
        <v>149</v>
      </c>
    </row>
    <row r="324" spans="1:20" x14ac:dyDescent="0.25">
      <c r="A324" s="7" t="s">
        <v>258</v>
      </c>
      <c r="B324" s="7" t="s">
        <v>151</v>
      </c>
      <c r="C324" s="7" t="s">
        <v>188</v>
      </c>
      <c r="D324" s="7" t="s">
        <v>187</v>
      </c>
      <c r="H324" s="7">
        <v>8</v>
      </c>
      <c r="I324" s="7">
        <v>2</v>
      </c>
      <c r="J324" s="8">
        <f t="shared" si="5"/>
        <v>0.8</v>
      </c>
      <c r="K324" s="8" t="s">
        <v>30</v>
      </c>
      <c r="L324" s="8" t="s">
        <v>30</v>
      </c>
      <c r="M324" s="8" t="s">
        <v>30</v>
      </c>
      <c r="N324" s="8"/>
      <c r="O324" s="11"/>
      <c r="P324" s="7">
        <v>5</v>
      </c>
      <c r="Q324" s="7">
        <v>1</v>
      </c>
      <c r="R324" s="7">
        <v>3</v>
      </c>
      <c r="S324" s="7">
        <v>1</v>
      </c>
      <c r="T324" s="7" t="s">
        <v>188</v>
      </c>
    </row>
    <row r="325" spans="1:20" x14ac:dyDescent="0.25">
      <c r="A325" s="7" t="s">
        <v>258</v>
      </c>
      <c r="B325" s="7" t="s">
        <v>151</v>
      </c>
      <c r="C325" s="7" t="s">
        <v>174</v>
      </c>
      <c r="D325" s="7" t="s">
        <v>166</v>
      </c>
      <c r="H325" s="7">
        <v>5</v>
      </c>
      <c r="I325" s="7">
        <v>5</v>
      </c>
      <c r="J325" s="8">
        <f t="shared" si="5"/>
        <v>0.5</v>
      </c>
      <c r="K325" s="8" t="s">
        <v>30</v>
      </c>
      <c r="L325" s="8" t="s">
        <v>30</v>
      </c>
      <c r="M325" s="8" t="s">
        <v>30</v>
      </c>
      <c r="N325" s="8"/>
      <c r="O325" s="11"/>
      <c r="P325" s="7">
        <v>3</v>
      </c>
      <c r="Q325" s="7">
        <v>3</v>
      </c>
      <c r="R325" s="7">
        <v>3</v>
      </c>
      <c r="S325" s="7">
        <v>1</v>
      </c>
      <c r="T325" s="7" t="s">
        <v>174</v>
      </c>
    </row>
    <row r="326" spans="1:20" x14ac:dyDescent="0.25">
      <c r="A326" s="7" t="s">
        <v>258</v>
      </c>
      <c r="B326" s="7" t="s">
        <v>151</v>
      </c>
      <c r="C326" s="7" t="s">
        <v>155</v>
      </c>
      <c r="D326" s="7" t="s">
        <v>154</v>
      </c>
      <c r="H326" s="7">
        <v>8</v>
      </c>
      <c r="I326" s="7">
        <v>2</v>
      </c>
      <c r="J326" s="8">
        <f t="shared" si="5"/>
        <v>0.8</v>
      </c>
      <c r="K326" s="8" t="s">
        <v>30</v>
      </c>
      <c r="L326" s="8" t="s">
        <v>30</v>
      </c>
      <c r="M326" s="8"/>
      <c r="N326" s="8"/>
      <c r="O326" s="11"/>
      <c r="P326" s="7">
        <v>3</v>
      </c>
      <c r="Q326" s="7">
        <v>3</v>
      </c>
      <c r="R326" s="7">
        <v>1</v>
      </c>
      <c r="S326" s="7">
        <v>3</v>
      </c>
      <c r="T326" s="7" t="s">
        <v>155</v>
      </c>
    </row>
    <row r="327" spans="1:20" x14ac:dyDescent="0.25">
      <c r="A327" s="7" t="s">
        <v>258</v>
      </c>
      <c r="B327" s="7" t="s">
        <v>151</v>
      </c>
      <c r="C327" s="7" t="s">
        <v>230</v>
      </c>
      <c r="D327" s="7" t="s">
        <v>171</v>
      </c>
      <c r="H327" s="7">
        <v>8</v>
      </c>
      <c r="I327" s="7">
        <v>2</v>
      </c>
      <c r="J327" s="8">
        <f t="shared" si="5"/>
        <v>0.8</v>
      </c>
      <c r="K327" s="8" t="s">
        <v>30</v>
      </c>
      <c r="L327" s="8"/>
      <c r="M327" s="8"/>
      <c r="N327" s="8"/>
      <c r="O327" s="11"/>
      <c r="P327" s="7">
        <v>3</v>
      </c>
      <c r="Q327" s="7">
        <v>3</v>
      </c>
      <c r="T327" s="7" t="s">
        <v>584</v>
      </c>
    </row>
    <row r="328" spans="1:20" x14ac:dyDescent="0.25">
      <c r="A328" s="7" t="s">
        <v>258</v>
      </c>
      <c r="B328" s="7" t="s">
        <v>151</v>
      </c>
      <c r="C328" s="7" t="s">
        <v>162</v>
      </c>
      <c r="D328" s="7" t="s">
        <v>152</v>
      </c>
      <c r="H328" s="7">
        <v>8</v>
      </c>
      <c r="I328" s="7">
        <v>2</v>
      </c>
      <c r="J328" s="8">
        <f t="shared" si="5"/>
        <v>0.8</v>
      </c>
      <c r="K328" s="8" t="s">
        <v>30</v>
      </c>
      <c r="L328" s="8"/>
      <c r="M328" s="8"/>
      <c r="N328" s="8"/>
      <c r="O328" s="11"/>
      <c r="P328" s="7">
        <v>2</v>
      </c>
      <c r="Q328" s="7">
        <v>4</v>
      </c>
      <c r="T328" s="7" t="s">
        <v>162</v>
      </c>
    </row>
    <row r="329" spans="1:20" x14ac:dyDescent="0.25">
      <c r="A329" s="7" t="s">
        <v>258</v>
      </c>
      <c r="B329" s="7" t="s">
        <v>151</v>
      </c>
      <c r="C329" s="7" t="s">
        <v>254</v>
      </c>
      <c r="D329" s="7" t="s">
        <v>154</v>
      </c>
      <c r="H329" s="7">
        <v>7</v>
      </c>
      <c r="I329" s="7">
        <v>3</v>
      </c>
      <c r="J329" s="8">
        <f t="shared" si="5"/>
        <v>0.7</v>
      </c>
      <c r="K329" s="8" t="s">
        <v>30</v>
      </c>
      <c r="L329" s="8" t="s">
        <v>30</v>
      </c>
      <c r="M329" s="8"/>
      <c r="N329" s="8"/>
      <c r="O329" s="11"/>
      <c r="P329" s="7">
        <v>3</v>
      </c>
      <c r="Q329" s="7">
        <v>3</v>
      </c>
      <c r="R329" s="7">
        <v>1</v>
      </c>
      <c r="S329" s="7">
        <v>3</v>
      </c>
      <c r="T329" s="7" t="s">
        <v>177</v>
      </c>
    </row>
    <row r="330" spans="1:20" x14ac:dyDescent="0.25">
      <c r="A330" s="7" t="s">
        <v>258</v>
      </c>
      <c r="B330" s="7" t="s">
        <v>151</v>
      </c>
      <c r="C330" s="7" t="s">
        <v>201</v>
      </c>
      <c r="D330" s="7" t="s">
        <v>154</v>
      </c>
      <c r="H330" s="7">
        <v>7</v>
      </c>
      <c r="I330" s="7">
        <v>3</v>
      </c>
      <c r="J330" s="8">
        <f t="shared" si="5"/>
        <v>0.7</v>
      </c>
      <c r="K330" s="8" t="s">
        <v>30</v>
      </c>
      <c r="L330" s="8"/>
      <c r="M330" s="8"/>
      <c r="N330" s="8"/>
      <c r="O330" s="11"/>
      <c r="P330" s="7">
        <v>2</v>
      </c>
      <c r="Q330" s="7">
        <v>4</v>
      </c>
      <c r="T330" s="7" t="s">
        <v>201</v>
      </c>
    </row>
    <row r="331" spans="1:20" x14ac:dyDescent="0.25">
      <c r="A331" s="7" t="s">
        <v>258</v>
      </c>
      <c r="B331" s="7" t="s">
        <v>151</v>
      </c>
      <c r="C331" s="7" t="s">
        <v>169</v>
      </c>
      <c r="D331" s="7" t="s">
        <v>161</v>
      </c>
      <c r="H331" s="7">
        <v>6</v>
      </c>
      <c r="I331" s="7">
        <v>4</v>
      </c>
      <c r="J331" s="8">
        <f t="shared" si="5"/>
        <v>0.6</v>
      </c>
      <c r="K331" s="8" t="s">
        <v>30</v>
      </c>
      <c r="L331" s="8" t="s">
        <v>30</v>
      </c>
      <c r="M331" s="8"/>
      <c r="N331" s="8"/>
      <c r="O331" s="11"/>
      <c r="P331" s="7">
        <v>4</v>
      </c>
      <c r="Q331" s="7">
        <v>2</v>
      </c>
      <c r="R331" s="7">
        <v>1</v>
      </c>
      <c r="S331" s="7">
        <v>3</v>
      </c>
      <c r="T331" s="7" t="s">
        <v>169</v>
      </c>
    </row>
    <row r="332" spans="1:20" x14ac:dyDescent="0.25">
      <c r="A332" s="7" t="s">
        <v>258</v>
      </c>
      <c r="B332" s="7" t="s">
        <v>151</v>
      </c>
      <c r="C332" s="7" t="s">
        <v>192</v>
      </c>
      <c r="D332" s="7" t="s">
        <v>187</v>
      </c>
      <c r="H332" s="7">
        <v>6</v>
      </c>
      <c r="I332" s="7">
        <v>4</v>
      </c>
      <c r="J332" s="8">
        <f t="shared" si="5"/>
        <v>0.6</v>
      </c>
      <c r="K332" s="8" t="s">
        <v>30</v>
      </c>
      <c r="L332" s="8"/>
      <c r="M332" s="8"/>
      <c r="N332" s="8"/>
      <c r="O332" s="11"/>
      <c r="P332" s="7">
        <v>3</v>
      </c>
      <c r="Q332" s="7">
        <v>3</v>
      </c>
      <c r="T332" s="7" t="s">
        <v>192</v>
      </c>
    </row>
    <row r="333" spans="1:20" x14ac:dyDescent="0.25">
      <c r="A333" s="7" t="s">
        <v>258</v>
      </c>
      <c r="B333" s="7" t="s">
        <v>151</v>
      </c>
      <c r="C333" s="7" t="s">
        <v>245</v>
      </c>
      <c r="D333" s="7" t="s">
        <v>220</v>
      </c>
      <c r="H333" s="7">
        <v>4</v>
      </c>
      <c r="I333" s="7">
        <v>6</v>
      </c>
      <c r="J333" s="8">
        <f t="shared" si="5"/>
        <v>0.4</v>
      </c>
      <c r="K333" s="8" t="s">
        <v>30</v>
      </c>
      <c r="L333" s="8" t="s">
        <v>30</v>
      </c>
      <c r="M333" s="8"/>
      <c r="N333" s="8"/>
      <c r="O333" s="11"/>
      <c r="P333" s="7">
        <v>3</v>
      </c>
      <c r="Q333" s="7">
        <v>3</v>
      </c>
      <c r="R333" s="7">
        <v>1</v>
      </c>
      <c r="S333" s="7">
        <v>3</v>
      </c>
      <c r="T333" s="7" t="s">
        <v>244</v>
      </c>
    </row>
    <row r="334" spans="1:20" x14ac:dyDescent="0.25">
      <c r="A334" s="7" t="s">
        <v>258</v>
      </c>
      <c r="B334" s="7" t="s">
        <v>151</v>
      </c>
      <c r="C334" s="7" t="s">
        <v>260</v>
      </c>
      <c r="D334" s="7" t="s">
        <v>152</v>
      </c>
      <c r="H334" s="7">
        <v>4</v>
      </c>
      <c r="I334" s="7">
        <v>6</v>
      </c>
      <c r="J334" s="8">
        <f t="shared" si="5"/>
        <v>0.4</v>
      </c>
      <c r="K334" s="8" t="s">
        <v>30</v>
      </c>
      <c r="L334" s="8"/>
      <c r="M334" s="8"/>
      <c r="N334" s="8"/>
      <c r="O334" s="11"/>
      <c r="P334" s="7">
        <v>2</v>
      </c>
      <c r="Q334" s="7">
        <v>4</v>
      </c>
      <c r="T334" s="7" t="s">
        <v>259</v>
      </c>
    </row>
    <row r="335" spans="1:20" x14ac:dyDescent="0.25">
      <c r="A335" s="7" t="s">
        <v>258</v>
      </c>
      <c r="B335" s="7" t="s">
        <v>151</v>
      </c>
      <c r="C335" s="7" t="s">
        <v>178</v>
      </c>
      <c r="D335" s="7" t="s">
        <v>157</v>
      </c>
      <c r="H335" s="7">
        <v>4</v>
      </c>
      <c r="I335" s="7">
        <v>6</v>
      </c>
      <c r="J335" s="8">
        <f t="shared" si="5"/>
        <v>0.4</v>
      </c>
      <c r="K335" s="8" t="s">
        <v>30</v>
      </c>
      <c r="L335" s="8"/>
      <c r="M335" s="8"/>
      <c r="N335" s="8"/>
      <c r="O335" s="11"/>
      <c r="P335" s="7">
        <v>2</v>
      </c>
      <c r="Q335" s="7">
        <v>4</v>
      </c>
      <c r="T335" s="7" t="s">
        <v>178</v>
      </c>
    </row>
    <row r="336" spans="1:20" x14ac:dyDescent="0.25">
      <c r="A336" s="7" t="s">
        <v>258</v>
      </c>
      <c r="B336" s="7" t="s">
        <v>151</v>
      </c>
      <c r="C336" s="7" t="s">
        <v>158</v>
      </c>
      <c r="D336" s="7" t="s">
        <v>159</v>
      </c>
      <c r="H336" s="7">
        <v>3</v>
      </c>
      <c r="I336" s="7">
        <v>7</v>
      </c>
      <c r="J336" s="8">
        <f t="shared" si="5"/>
        <v>0.3</v>
      </c>
      <c r="K336" s="8" t="s">
        <v>30</v>
      </c>
      <c r="L336" s="8"/>
      <c r="M336" s="8"/>
      <c r="N336" s="8"/>
      <c r="O336" s="11"/>
      <c r="P336" s="7">
        <v>2</v>
      </c>
      <c r="Q336" s="7">
        <v>4</v>
      </c>
      <c r="T336" s="7" t="s">
        <v>158</v>
      </c>
    </row>
    <row r="337" spans="1:20" x14ac:dyDescent="0.25">
      <c r="A337" s="7" t="s">
        <v>258</v>
      </c>
      <c r="B337" s="7" t="s">
        <v>151</v>
      </c>
      <c r="C337" s="7" t="s">
        <v>257</v>
      </c>
      <c r="D337" s="7" t="s">
        <v>215</v>
      </c>
      <c r="H337" s="7">
        <v>3</v>
      </c>
      <c r="I337" s="7">
        <v>7</v>
      </c>
      <c r="J337" s="8">
        <f t="shared" si="5"/>
        <v>0.3</v>
      </c>
      <c r="K337" s="8" t="s">
        <v>30</v>
      </c>
      <c r="L337" s="8"/>
      <c r="M337" s="8"/>
      <c r="N337" s="8"/>
      <c r="O337" s="11"/>
      <c r="P337" s="7">
        <v>1</v>
      </c>
      <c r="Q337" s="7">
        <v>5</v>
      </c>
      <c r="T337" s="7" t="s">
        <v>257</v>
      </c>
    </row>
    <row r="338" spans="1:20" x14ac:dyDescent="0.25">
      <c r="A338" s="7" t="s">
        <v>258</v>
      </c>
      <c r="B338" s="7" t="s">
        <v>151</v>
      </c>
      <c r="C338" s="7" t="s">
        <v>255</v>
      </c>
      <c r="D338" s="7" t="s">
        <v>171</v>
      </c>
      <c r="H338" s="7">
        <v>4</v>
      </c>
      <c r="I338" s="7">
        <v>6</v>
      </c>
      <c r="J338" s="8">
        <f t="shared" si="5"/>
        <v>0.4</v>
      </c>
      <c r="K338" s="8"/>
      <c r="L338" s="8"/>
      <c r="M338" s="8"/>
      <c r="N338" s="8"/>
      <c r="O338" s="11"/>
      <c r="T338" s="7" t="s">
        <v>255</v>
      </c>
    </row>
    <row r="339" spans="1:20" x14ac:dyDescent="0.25">
      <c r="A339" s="7" t="s">
        <v>258</v>
      </c>
      <c r="B339" s="7" t="s">
        <v>151</v>
      </c>
      <c r="C339" s="7" t="s">
        <v>235</v>
      </c>
      <c r="D339" s="7" t="s">
        <v>159</v>
      </c>
      <c r="H339" s="7">
        <v>4</v>
      </c>
      <c r="I339" s="7">
        <v>6</v>
      </c>
      <c r="J339" s="8">
        <f t="shared" si="5"/>
        <v>0.4</v>
      </c>
      <c r="K339" s="8"/>
      <c r="L339" s="8"/>
      <c r="M339" s="8"/>
      <c r="N339" s="8"/>
      <c r="O339" s="11"/>
      <c r="T339" s="7" t="s">
        <v>234</v>
      </c>
    </row>
    <row r="340" spans="1:20" x14ac:dyDescent="0.25">
      <c r="A340" s="7" t="s">
        <v>258</v>
      </c>
      <c r="B340" s="7" t="s">
        <v>151</v>
      </c>
      <c r="C340" s="7" t="s">
        <v>179</v>
      </c>
      <c r="D340" s="7" t="s">
        <v>164</v>
      </c>
      <c r="H340" s="7">
        <v>3</v>
      </c>
      <c r="I340" s="7">
        <v>7</v>
      </c>
      <c r="J340" s="8">
        <f t="shared" si="5"/>
        <v>0.3</v>
      </c>
      <c r="K340" s="8"/>
      <c r="L340" s="8"/>
      <c r="M340" s="8"/>
      <c r="N340" s="8"/>
      <c r="O340" s="11"/>
      <c r="T340" s="7" t="s">
        <v>179</v>
      </c>
    </row>
    <row r="341" spans="1:20" x14ac:dyDescent="0.25">
      <c r="A341" s="7" t="s">
        <v>258</v>
      </c>
      <c r="B341" s="7" t="s">
        <v>151</v>
      </c>
      <c r="C341" s="7" t="s">
        <v>170</v>
      </c>
      <c r="D341" s="7" t="s">
        <v>171</v>
      </c>
      <c r="H341" s="7">
        <v>3</v>
      </c>
      <c r="I341" s="7">
        <v>7</v>
      </c>
      <c r="J341" s="8">
        <f t="shared" si="5"/>
        <v>0.3</v>
      </c>
      <c r="K341" s="8"/>
      <c r="L341" s="8"/>
      <c r="M341" s="8"/>
      <c r="N341" s="8"/>
      <c r="O341" s="11"/>
      <c r="T341" s="7" t="s">
        <v>170</v>
      </c>
    </row>
    <row r="342" spans="1:20" x14ac:dyDescent="0.25">
      <c r="A342" s="7" t="s">
        <v>258</v>
      </c>
      <c r="B342" s="7" t="s">
        <v>151</v>
      </c>
      <c r="C342" s="7" t="s">
        <v>156</v>
      </c>
      <c r="D342" s="7" t="s">
        <v>157</v>
      </c>
      <c r="H342" s="7">
        <v>3</v>
      </c>
      <c r="I342" s="7">
        <v>7</v>
      </c>
      <c r="J342" s="8">
        <f t="shared" si="5"/>
        <v>0.3</v>
      </c>
      <c r="K342" s="8"/>
      <c r="L342" s="8"/>
      <c r="M342" s="8"/>
      <c r="N342" s="8"/>
      <c r="O342" s="11"/>
      <c r="T342" s="7" t="s">
        <v>156</v>
      </c>
    </row>
    <row r="343" spans="1:20" x14ac:dyDescent="0.25">
      <c r="A343" s="7" t="s">
        <v>258</v>
      </c>
      <c r="B343" s="7" t="s">
        <v>151</v>
      </c>
      <c r="C343" s="7" t="s">
        <v>262</v>
      </c>
      <c r="D343" s="7" t="s">
        <v>164</v>
      </c>
      <c r="H343" s="7">
        <v>2</v>
      </c>
      <c r="I343" s="7">
        <v>8</v>
      </c>
      <c r="J343" s="8">
        <f t="shared" si="5"/>
        <v>0.2</v>
      </c>
      <c r="K343" s="8"/>
      <c r="L343" s="8"/>
      <c r="M343" s="8"/>
      <c r="N343" s="8"/>
      <c r="O343" s="11"/>
      <c r="T343" s="7" t="s">
        <v>261</v>
      </c>
    </row>
    <row r="344" spans="1:20" x14ac:dyDescent="0.25">
      <c r="A344" s="7" t="s">
        <v>258</v>
      </c>
      <c r="B344" s="7" t="s">
        <v>151</v>
      </c>
      <c r="C344" s="7" t="s">
        <v>263</v>
      </c>
      <c r="D344" s="7" t="s">
        <v>173</v>
      </c>
      <c r="H344" s="7">
        <v>1</v>
      </c>
      <c r="I344" s="7">
        <v>9</v>
      </c>
      <c r="J344" s="8">
        <f t="shared" si="5"/>
        <v>0.1</v>
      </c>
      <c r="K344" s="8"/>
      <c r="L344" s="8"/>
      <c r="M344" s="8"/>
      <c r="N344" s="8"/>
      <c r="O344" s="11"/>
      <c r="T344" s="7" t="s">
        <v>263</v>
      </c>
    </row>
    <row r="345" spans="1:20" x14ac:dyDescent="0.25">
      <c r="A345" s="7" t="s">
        <v>258</v>
      </c>
      <c r="B345" s="7" t="s">
        <v>151</v>
      </c>
      <c r="C345" s="7" t="s">
        <v>242</v>
      </c>
      <c r="D345" s="7" t="s">
        <v>243</v>
      </c>
      <c r="H345" s="7">
        <v>1</v>
      </c>
      <c r="I345" s="7">
        <v>9</v>
      </c>
      <c r="J345" s="8">
        <f t="shared" si="5"/>
        <v>0.1</v>
      </c>
      <c r="K345" s="8"/>
      <c r="L345" s="8"/>
      <c r="M345" s="8"/>
      <c r="N345" s="8"/>
      <c r="O345" s="11"/>
      <c r="T345" s="7" t="s">
        <v>241</v>
      </c>
    </row>
    <row r="346" spans="1:20" x14ac:dyDescent="0.25">
      <c r="A346" s="7" t="s">
        <v>264</v>
      </c>
      <c r="B346" s="7" t="s">
        <v>151</v>
      </c>
      <c r="C346" s="7" t="s">
        <v>581</v>
      </c>
      <c r="D346" s="7" t="s">
        <v>154</v>
      </c>
      <c r="H346" s="7">
        <v>9</v>
      </c>
      <c r="I346" s="7">
        <v>1</v>
      </c>
      <c r="J346" s="8">
        <f t="shared" si="5"/>
        <v>0.9</v>
      </c>
      <c r="K346" s="8" t="s">
        <v>30</v>
      </c>
      <c r="L346" s="8" t="s">
        <v>30</v>
      </c>
      <c r="M346" s="8" t="s">
        <v>30</v>
      </c>
      <c r="N346" s="8"/>
      <c r="O346" s="11"/>
      <c r="P346" s="7">
        <v>5</v>
      </c>
      <c r="Q346" s="7">
        <v>1</v>
      </c>
      <c r="R346" s="7">
        <v>3</v>
      </c>
      <c r="S346" s="7">
        <v>2</v>
      </c>
      <c r="T346" s="7" t="s">
        <v>581</v>
      </c>
    </row>
    <row r="347" spans="1:20" x14ac:dyDescent="0.25">
      <c r="A347" s="7" t="s">
        <v>264</v>
      </c>
      <c r="B347" s="7" t="s">
        <v>151</v>
      </c>
      <c r="C347" s="7" t="s">
        <v>162</v>
      </c>
      <c r="D347" s="7" t="s">
        <v>152</v>
      </c>
      <c r="H347" s="7">
        <v>7</v>
      </c>
      <c r="I347" s="7">
        <v>3</v>
      </c>
      <c r="J347" s="8">
        <f t="shared" si="5"/>
        <v>0.7</v>
      </c>
      <c r="K347" s="8" t="s">
        <v>30</v>
      </c>
      <c r="L347" s="8" t="s">
        <v>30</v>
      </c>
      <c r="M347" s="8" t="s">
        <v>30</v>
      </c>
      <c r="N347" s="8" t="s">
        <v>30</v>
      </c>
      <c r="O347" s="11" t="s">
        <v>30</v>
      </c>
      <c r="P347" s="7">
        <v>5</v>
      </c>
      <c r="Q347" s="7">
        <v>1</v>
      </c>
      <c r="R347" s="7">
        <v>3</v>
      </c>
      <c r="S347" s="7">
        <v>1</v>
      </c>
      <c r="T347" s="7" t="s">
        <v>162</v>
      </c>
    </row>
    <row r="348" spans="1:20" x14ac:dyDescent="0.25">
      <c r="A348" s="7" t="s">
        <v>264</v>
      </c>
      <c r="B348" s="7" t="s">
        <v>151</v>
      </c>
      <c r="C348" s="7" t="s">
        <v>188</v>
      </c>
      <c r="D348" s="7" t="s">
        <v>187</v>
      </c>
      <c r="H348" s="7">
        <v>7</v>
      </c>
      <c r="I348" s="7">
        <v>3</v>
      </c>
      <c r="J348" s="8">
        <f t="shared" si="5"/>
        <v>0.7</v>
      </c>
      <c r="K348" s="8" t="s">
        <v>30</v>
      </c>
      <c r="L348" s="8" t="s">
        <v>30</v>
      </c>
      <c r="M348" s="8" t="s">
        <v>30</v>
      </c>
      <c r="N348" s="8" t="s">
        <v>30</v>
      </c>
      <c r="O348" s="11"/>
      <c r="P348" s="7">
        <v>5</v>
      </c>
      <c r="Q348" s="7">
        <v>1</v>
      </c>
      <c r="R348" s="7">
        <v>3</v>
      </c>
      <c r="S348" s="7">
        <v>0</v>
      </c>
      <c r="T348" s="7" t="s">
        <v>188</v>
      </c>
    </row>
    <row r="349" spans="1:20" x14ac:dyDescent="0.25">
      <c r="A349" s="7" t="s">
        <v>264</v>
      </c>
      <c r="B349" s="7" t="s">
        <v>151</v>
      </c>
      <c r="C349" s="7" t="s">
        <v>149</v>
      </c>
      <c r="D349" s="7" t="s">
        <v>152</v>
      </c>
      <c r="H349" s="7">
        <v>6</v>
      </c>
      <c r="I349" s="7">
        <v>4</v>
      </c>
      <c r="J349" s="8">
        <f t="shared" si="5"/>
        <v>0.6</v>
      </c>
      <c r="K349" s="8" t="s">
        <v>30</v>
      </c>
      <c r="L349" s="8" t="s">
        <v>30</v>
      </c>
      <c r="M349" s="8" t="s">
        <v>30</v>
      </c>
      <c r="N349" s="8"/>
      <c r="O349" s="11"/>
      <c r="P349" s="7">
        <v>5</v>
      </c>
      <c r="Q349" s="7">
        <v>1</v>
      </c>
      <c r="R349" s="7">
        <v>3</v>
      </c>
      <c r="S349" s="7">
        <v>1</v>
      </c>
      <c r="T349" s="7" t="s">
        <v>149</v>
      </c>
    </row>
    <row r="350" spans="1:20" x14ac:dyDescent="0.25">
      <c r="A350" s="7" t="s">
        <v>264</v>
      </c>
      <c r="B350" s="7" t="s">
        <v>151</v>
      </c>
      <c r="C350" s="7" t="s">
        <v>265</v>
      </c>
      <c r="D350" s="7" t="s">
        <v>154</v>
      </c>
      <c r="H350" s="7">
        <v>8</v>
      </c>
      <c r="I350" s="7">
        <v>2</v>
      </c>
      <c r="J350" s="8">
        <f t="shared" si="5"/>
        <v>0.8</v>
      </c>
      <c r="K350" s="8" t="s">
        <v>30</v>
      </c>
      <c r="L350" s="8" t="s">
        <v>30</v>
      </c>
      <c r="M350" s="8"/>
      <c r="N350" s="8"/>
      <c r="O350" s="11"/>
      <c r="P350" s="7">
        <v>4</v>
      </c>
      <c r="Q350" s="7">
        <v>2</v>
      </c>
      <c r="R350" s="7">
        <v>2</v>
      </c>
      <c r="S350" s="7">
        <v>3</v>
      </c>
      <c r="T350" s="7" t="s">
        <v>177</v>
      </c>
    </row>
    <row r="351" spans="1:20" x14ac:dyDescent="0.25">
      <c r="A351" s="7" t="s">
        <v>264</v>
      </c>
      <c r="B351" s="7" t="s">
        <v>151</v>
      </c>
      <c r="C351" s="7" t="s">
        <v>230</v>
      </c>
      <c r="D351" s="7" t="s">
        <v>171</v>
      </c>
      <c r="H351" s="7">
        <v>8</v>
      </c>
      <c r="I351" s="7">
        <v>2</v>
      </c>
      <c r="J351" s="8">
        <f t="shared" si="5"/>
        <v>0.8</v>
      </c>
      <c r="K351" s="8" t="s">
        <v>30</v>
      </c>
      <c r="L351" s="8" t="s">
        <v>30</v>
      </c>
      <c r="M351" s="8"/>
      <c r="N351" s="8"/>
      <c r="O351" s="11"/>
      <c r="P351" s="7">
        <v>4</v>
      </c>
      <c r="Q351" s="7">
        <v>2</v>
      </c>
      <c r="R351" s="7">
        <v>1</v>
      </c>
      <c r="S351" s="7">
        <v>3</v>
      </c>
      <c r="T351" s="7" t="s">
        <v>584</v>
      </c>
    </row>
    <row r="352" spans="1:20" x14ac:dyDescent="0.25">
      <c r="A352" s="7" t="s">
        <v>264</v>
      </c>
      <c r="B352" s="7" t="s">
        <v>151</v>
      </c>
      <c r="C352" s="7" t="s">
        <v>201</v>
      </c>
      <c r="D352" s="7" t="s">
        <v>154</v>
      </c>
      <c r="H352" s="7">
        <v>8</v>
      </c>
      <c r="I352" s="7">
        <v>2</v>
      </c>
      <c r="J352" s="8">
        <f t="shared" si="5"/>
        <v>0.8</v>
      </c>
      <c r="K352" s="8" t="s">
        <v>30</v>
      </c>
      <c r="L352" s="8"/>
      <c r="M352" s="8"/>
      <c r="N352" s="8"/>
      <c r="O352" s="11"/>
      <c r="P352" s="7">
        <v>2</v>
      </c>
      <c r="Q352" s="7">
        <v>4</v>
      </c>
      <c r="T352" s="7" t="s">
        <v>201</v>
      </c>
    </row>
    <row r="353" spans="1:20" x14ac:dyDescent="0.25">
      <c r="A353" s="7" t="s">
        <v>264</v>
      </c>
      <c r="B353" s="7" t="s">
        <v>151</v>
      </c>
      <c r="C353" s="7" t="s">
        <v>155</v>
      </c>
      <c r="D353" s="7" t="s">
        <v>154</v>
      </c>
      <c r="H353" s="7">
        <v>6</v>
      </c>
      <c r="I353" s="7">
        <v>4</v>
      </c>
      <c r="J353" s="8">
        <f t="shared" si="5"/>
        <v>0.6</v>
      </c>
      <c r="K353" s="8" t="s">
        <v>30</v>
      </c>
      <c r="L353" s="8" t="s">
        <v>30</v>
      </c>
      <c r="M353" s="8"/>
      <c r="N353" s="8"/>
      <c r="O353" s="11"/>
      <c r="P353" s="7">
        <v>5</v>
      </c>
      <c r="Q353" s="7">
        <v>1</v>
      </c>
      <c r="R353" s="7">
        <v>1</v>
      </c>
      <c r="S353" s="7">
        <v>3</v>
      </c>
      <c r="T353" s="7" t="s">
        <v>155</v>
      </c>
    </row>
    <row r="354" spans="1:20" x14ac:dyDescent="0.25">
      <c r="A354" s="7" t="s">
        <v>264</v>
      </c>
      <c r="B354" s="7" t="s">
        <v>151</v>
      </c>
      <c r="C354" s="7" t="s">
        <v>169</v>
      </c>
      <c r="D354" s="7" t="s">
        <v>161</v>
      </c>
      <c r="H354" s="7">
        <v>6</v>
      </c>
      <c r="I354" s="7">
        <v>4</v>
      </c>
      <c r="J354" s="8">
        <f t="shared" si="5"/>
        <v>0.6</v>
      </c>
      <c r="K354" s="8" t="s">
        <v>30</v>
      </c>
      <c r="L354" s="8"/>
      <c r="M354" s="8"/>
      <c r="N354" s="8"/>
      <c r="O354" s="11"/>
      <c r="P354" s="7">
        <v>2</v>
      </c>
      <c r="Q354" s="7">
        <v>4</v>
      </c>
      <c r="T354" s="7" t="s">
        <v>169</v>
      </c>
    </row>
    <row r="355" spans="1:20" x14ac:dyDescent="0.25">
      <c r="A355" s="7" t="s">
        <v>264</v>
      </c>
      <c r="B355" s="7" t="s">
        <v>151</v>
      </c>
      <c r="C355" s="7" t="s">
        <v>255</v>
      </c>
      <c r="D355" s="7" t="s">
        <v>171</v>
      </c>
      <c r="H355" s="7">
        <v>6</v>
      </c>
      <c r="I355" s="7">
        <v>4</v>
      </c>
      <c r="J355" s="8">
        <f t="shared" si="5"/>
        <v>0.6</v>
      </c>
      <c r="K355" s="8" t="s">
        <v>30</v>
      </c>
      <c r="L355" s="8"/>
      <c r="M355" s="8"/>
      <c r="N355" s="8"/>
      <c r="O355" s="11"/>
      <c r="P355" s="7">
        <v>1</v>
      </c>
      <c r="Q355" s="7">
        <v>5</v>
      </c>
      <c r="T355" s="7" t="s">
        <v>255</v>
      </c>
    </row>
    <row r="356" spans="1:20" x14ac:dyDescent="0.25">
      <c r="A356" s="7" t="s">
        <v>264</v>
      </c>
      <c r="B356" s="7" t="s">
        <v>151</v>
      </c>
      <c r="C356" s="7" t="s">
        <v>156</v>
      </c>
      <c r="D356" s="7" t="s">
        <v>157</v>
      </c>
      <c r="H356" s="7">
        <v>6</v>
      </c>
      <c r="I356" s="7">
        <v>4</v>
      </c>
      <c r="J356" s="8">
        <f t="shared" si="5"/>
        <v>0.6</v>
      </c>
      <c r="K356" s="8" t="s">
        <v>30</v>
      </c>
      <c r="L356" s="8"/>
      <c r="M356" s="8"/>
      <c r="N356" s="8"/>
      <c r="O356" s="11"/>
      <c r="P356" s="7">
        <v>1</v>
      </c>
      <c r="Q356" s="7">
        <v>5</v>
      </c>
      <c r="T356" s="7" t="s">
        <v>156</v>
      </c>
    </row>
    <row r="357" spans="1:20" x14ac:dyDescent="0.25">
      <c r="A357" s="7" t="s">
        <v>264</v>
      </c>
      <c r="B357" s="7" t="s">
        <v>151</v>
      </c>
      <c r="C357" s="7" t="s">
        <v>174</v>
      </c>
      <c r="D357" s="7" t="s">
        <v>166</v>
      </c>
      <c r="H357" s="7">
        <v>5</v>
      </c>
      <c r="I357" s="7">
        <v>5</v>
      </c>
      <c r="J357" s="8">
        <f t="shared" si="5"/>
        <v>0.5</v>
      </c>
      <c r="K357" s="8" t="s">
        <v>30</v>
      </c>
      <c r="L357" s="8" t="s">
        <v>30</v>
      </c>
      <c r="M357" s="8"/>
      <c r="N357" s="8"/>
      <c r="O357" s="11"/>
      <c r="P357" s="7">
        <v>4</v>
      </c>
      <c r="Q357" s="7">
        <v>2</v>
      </c>
      <c r="R357" s="7">
        <v>0</v>
      </c>
      <c r="S357" s="7">
        <v>3</v>
      </c>
      <c r="T357" s="7" t="s">
        <v>174</v>
      </c>
    </row>
    <row r="358" spans="1:20" x14ac:dyDescent="0.25">
      <c r="A358" s="7" t="s">
        <v>264</v>
      </c>
      <c r="B358" s="7" t="s">
        <v>151</v>
      </c>
      <c r="C358" s="7" t="s">
        <v>257</v>
      </c>
      <c r="D358" s="7" t="s">
        <v>215</v>
      </c>
      <c r="H358" s="7">
        <v>5</v>
      </c>
      <c r="I358" s="7">
        <v>5</v>
      </c>
      <c r="J358" s="8">
        <f t="shared" si="5"/>
        <v>0.5</v>
      </c>
      <c r="K358" s="8" t="s">
        <v>30</v>
      </c>
      <c r="L358" s="8"/>
      <c r="M358" s="8"/>
      <c r="N358" s="8"/>
      <c r="O358" s="11"/>
      <c r="P358" s="7">
        <v>2</v>
      </c>
      <c r="Q358" s="7">
        <v>4</v>
      </c>
      <c r="T358" s="7" t="s">
        <v>257</v>
      </c>
    </row>
    <row r="359" spans="1:20" x14ac:dyDescent="0.25">
      <c r="A359" s="7" t="s">
        <v>264</v>
      </c>
      <c r="B359" s="7" t="s">
        <v>151</v>
      </c>
      <c r="C359" s="7" t="s">
        <v>170</v>
      </c>
      <c r="D359" s="7" t="s">
        <v>171</v>
      </c>
      <c r="H359" s="7">
        <v>5</v>
      </c>
      <c r="I359" s="7">
        <v>5</v>
      </c>
      <c r="J359" s="8">
        <f t="shared" si="5"/>
        <v>0.5</v>
      </c>
      <c r="K359" s="8" t="s">
        <v>30</v>
      </c>
      <c r="L359" s="8"/>
      <c r="M359" s="8"/>
      <c r="N359" s="8"/>
      <c r="O359" s="11"/>
      <c r="P359" s="7">
        <v>2</v>
      </c>
      <c r="Q359" s="7">
        <v>4</v>
      </c>
      <c r="T359" s="7" t="s">
        <v>170</v>
      </c>
    </row>
    <row r="360" spans="1:20" x14ac:dyDescent="0.25">
      <c r="A360" s="7" t="s">
        <v>264</v>
      </c>
      <c r="B360" s="7" t="s">
        <v>151</v>
      </c>
      <c r="C360" s="7" t="s">
        <v>181</v>
      </c>
      <c r="D360" s="7" t="s">
        <v>173</v>
      </c>
      <c r="H360" s="7">
        <v>4</v>
      </c>
      <c r="I360" s="7">
        <v>6</v>
      </c>
      <c r="J360" s="8">
        <f t="shared" si="5"/>
        <v>0.4</v>
      </c>
      <c r="K360" s="8" t="s">
        <v>30</v>
      </c>
      <c r="L360" s="8"/>
      <c r="M360" s="8"/>
      <c r="N360" s="8"/>
      <c r="O360" s="11"/>
      <c r="P360" s="7">
        <v>0</v>
      </c>
      <c r="Q360" s="7">
        <v>6</v>
      </c>
      <c r="T360" s="7" t="s">
        <v>181</v>
      </c>
    </row>
    <row r="361" spans="1:20" x14ac:dyDescent="0.25">
      <c r="A361" s="7" t="s">
        <v>264</v>
      </c>
      <c r="B361" s="7" t="s">
        <v>151</v>
      </c>
      <c r="C361" s="7" t="s">
        <v>266</v>
      </c>
      <c r="D361" s="7" t="s">
        <v>220</v>
      </c>
      <c r="H361" s="7">
        <v>2</v>
      </c>
      <c r="I361" s="7">
        <v>8</v>
      </c>
      <c r="J361" s="8">
        <f t="shared" si="5"/>
        <v>0.2</v>
      </c>
      <c r="K361" s="8" t="s">
        <v>30</v>
      </c>
      <c r="L361" s="8"/>
      <c r="M361" s="8"/>
      <c r="N361" s="8"/>
      <c r="O361" s="11"/>
      <c r="P361" s="7">
        <v>1</v>
      </c>
      <c r="Q361" s="7">
        <v>5</v>
      </c>
      <c r="T361" s="7" t="s">
        <v>244</v>
      </c>
    </row>
    <row r="362" spans="1:20" x14ac:dyDescent="0.25">
      <c r="A362" s="7" t="s">
        <v>264</v>
      </c>
      <c r="B362" s="7" t="s">
        <v>151</v>
      </c>
      <c r="C362" s="7" t="s">
        <v>267</v>
      </c>
      <c r="D362" s="7" t="s">
        <v>154</v>
      </c>
      <c r="H362" s="7">
        <v>4</v>
      </c>
      <c r="I362" s="7">
        <v>6</v>
      </c>
      <c r="J362" s="8">
        <f t="shared" si="5"/>
        <v>0.4</v>
      </c>
      <c r="K362" s="8"/>
      <c r="L362" s="8"/>
      <c r="M362" s="8"/>
      <c r="N362" s="8"/>
      <c r="O362" s="11"/>
      <c r="T362" s="7" t="s">
        <v>267</v>
      </c>
    </row>
    <row r="363" spans="1:20" x14ac:dyDescent="0.25">
      <c r="A363" s="7" t="s">
        <v>264</v>
      </c>
      <c r="B363" s="7" t="s">
        <v>151</v>
      </c>
      <c r="C363" s="7" t="s">
        <v>178</v>
      </c>
      <c r="D363" s="7" t="s">
        <v>157</v>
      </c>
      <c r="H363" s="7">
        <v>4</v>
      </c>
      <c r="I363" s="7">
        <v>6</v>
      </c>
      <c r="J363" s="8">
        <f t="shared" si="5"/>
        <v>0.4</v>
      </c>
      <c r="K363" s="8"/>
      <c r="L363" s="8"/>
      <c r="M363" s="8"/>
      <c r="N363" s="8"/>
      <c r="O363" s="11"/>
      <c r="T363" s="7" t="s">
        <v>178</v>
      </c>
    </row>
    <row r="364" spans="1:20" x14ac:dyDescent="0.25">
      <c r="A364" s="7" t="s">
        <v>264</v>
      </c>
      <c r="B364" s="7" t="s">
        <v>151</v>
      </c>
      <c r="C364" s="7" t="s">
        <v>268</v>
      </c>
      <c r="D364" s="7" t="s">
        <v>152</v>
      </c>
      <c r="H364" s="7">
        <v>3</v>
      </c>
      <c r="I364" s="7">
        <v>7</v>
      </c>
      <c r="J364" s="8">
        <f t="shared" si="5"/>
        <v>0.3</v>
      </c>
      <c r="K364" s="8"/>
      <c r="L364" s="8"/>
      <c r="M364" s="8"/>
      <c r="N364" s="8"/>
      <c r="O364" s="11"/>
      <c r="T364" s="7" t="s">
        <v>268</v>
      </c>
    </row>
    <row r="365" spans="1:20" x14ac:dyDescent="0.25">
      <c r="A365" s="7" t="s">
        <v>264</v>
      </c>
      <c r="B365" s="7" t="s">
        <v>151</v>
      </c>
      <c r="C365" s="7" t="s">
        <v>270</v>
      </c>
      <c r="D365" s="7" t="s">
        <v>171</v>
      </c>
      <c r="H365" s="7">
        <v>3</v>
      </c>
      <c r="I365" s="7">
        <v>7</v>
      </c>
      <c r="J365" s="8">
        <f t="shared" si="5"/>
        <v>0.3</v>
      </c>
      <c r="K365" s="8"/>
      <c r="L365" s="8"/>
      <c r="M365" s="8"/>
      <c r="N365" s="8"/>
      <c r="O365" s="11"/>
      <c r="T365" s="7" t="s">
        <v>269</v>
      </c>
    </row>
    <row r="366" spans="1:20" x14ac:dyDescent="0.25">
      <c r="A366" s="7" t="s">
        <v>264</v>
      </c>
      <c r="B366" s="7" t="s">
        <v>151</v>
      </c>
      <c r="C366" s="7" t="s">
        <v>271</v>
      </c>
      <c r="D366" s="7" t="s">
        <v>164</v>
      </c>
      <c r="H366" s="7">
        <v>2</v>
      </c>
      <c r="I366" s="7">
        <v>8</v>
      </c>
      <c r="J366" s="8">
        <f t="shared" si="5"/>
        <v>0.2</v>
      </c>
      <c r="K366" s="8"/>
      <c r="L366" s="8"/>
      <c r="M366" s="8"/>
      <c r="N366" s="8"/>
      <c r="O366" s="11"/>
      <c r="T366" s="7" t="s">
        <v>271</v>
      </c>
    </row>
    <row r="367" spans="1:20" x14ac:dyDescent="0.25">
      <c r="A367" s="7" t="s">
        <v>264</v>
      </c>
      <c r="B367" s="7" t="s">
        <v>151</v>
      </c>
      <c r="C367" s="7" t="s">
        <v>249</v>
      </c>
      <c r="D367" s="7" t="s">
        <v>164</v>
      </c>
      <c r="H367" s="7">
        <v>2</v>
      </c>
      <c r="I367" s="7">
        <v>8</v>
      </c>
      <c r="J367" s="8">
        <f t="shared" si="5"/>
        <v>0.2</v>
      </c>
      <c r="K367" s="8"/>
      <c r="L367" s="8"/>
      <c r="M367" s="8"/>
      <c r="N367" s="8"/>
      <c r="O367" s="11"/>
      <c r="T367" s="7" t="s">
        <v>249</v>
      </c>
    </row>
    <row r="368" spans="1:20" x14ac:dyDescent="0.25">
      <c r="A368" s="7" t="s">
        <v>264</v>
      </c>
      <c r="B368" s="7" t="s">
        <v>151</v>
      </c>
      <c r="C368" s="7" t="s">
        <v>158</v>
      </c>
      <c r="D368" s="7" t="s">
        <v>159</v>
      </c>
      <c r="H368" s="7">
        <v>2</v>
      </c>
      <c r="I368" s="7">
        <v>8</v>
      </c>
      <c r="J368" s="8">
        <f t="shared" si="5"/>
        <v>0.2</v>
      </c>
      <c r="K368" s="8"/>
      <c r="L368" s="8"/>
      <c r="M368" s="8"/>
      <c r="N368" s="8"/>
      <c r="O368" s="11"/>
      <c r="T368" s="7" t="s">
        <v>158</v>
      </c>
    </row>
    <row r="369" spans="1:20" x14ac:dyDescent="0.25">
      <c r="A369" s="7" t="s">
        <v>264</v>
      </c>
      <c r="B369" s="7" t="s">
        <v>151</v>
      </c>
      <c r="C369" s="7" t="s">
        <v>242</v>
      </c>
      <c r="D369" s="7" t="s">
        <v>243</v>
      </c>
      <c r="H369" s="7">
        <v>2</v>
      </c>
      <c r="I369" s="7">
        <v>8</v>
      </c>
      <c r="J369" s="8">
        <f t="shared" si="5"/>
        <v>0.2</v>
      </c>
      <c r="K369" s="8"/>
      <c r="L369" s="8"/>
      <c r="M369" s="8"/>
      <c r="N369" s="8"/>
      <c r="O369" s="11"/>
      <c r="T369" s="7" t="s">
        <v>241</v>
      </c>
    </row>
    <row r="370" spans="1:20" x14ac:dyDescent="0.25">
      <c r="A370" s="7" t="s">
        <v>272</v>
      </c>
      <c r="B370" s="7" t="s">
        <v>151</v>
      </c>
      <c r="C370" s="7" t="s">
        <v>188</v>
      </c>
      <c r="D370" s="7" t="s">
        <v>187</v>
      </c>
      <c r="H370" s="7">
        <v>12</v>
      </c>
      <c r="I370" s="7">
        <v>2</v>
      </c>
      <c r="J370" s="8">
        <f t="shared" si="5"/>
        <v>0.8571428571428571</v>
      </c>
      <c r="K370" s="8" t="s">
        <v>30</v>
      </c>
      <c r="L370" s="8" t="s">
        <v>30</v>
      </c>
      <c r="M370" s="8" t="s">
        <v>30</v>
      </c>
      <c r="N370" s="8" t="s">
        <v>30</v>
      </c>
      <c r="O370" s="11" t="s">
        <v>30</v>
      </c>
      <c r="P370" s="7">
        <v>4</v>
      </c>
      <c r="Q370" s="7">
        <v>2</v>
      </c>
      <c r="R370" s="7">
        <v>2</v>
      </c>
      <c r="S370" s="7">
        <v>1</v>
      </c>
      <c r="T370" s="7" t="s">
        <v>188</v>
      </c>
    </row>
    <row r="371" spans="1:20" x14ac:dyDescent="0.25">
      <c r="A371" s="7" t="s">
        <v>272</v>
      </c>
      <c r="B371" s="7" t="s">
        <v>151</v>
      </c>
      <c r="C371" s="7" t="s">
        <v>169</v>
      </c>
      <c r="D371" s="7" t="s">
        <v>161</v>
      </c>
      <c r="H371" s="7">
        <v>11</v>
      </c>
      <c r="I371" s="7">
        <v>3</v>
      </c>
      <c r="J371" s="8">
        <f t="shared" si="5"/>
        <v>0.7857142857142857</v>
      </c>
      <c r="K371" s="8" t="s">
        <v>30</v>
      </c>
      <c r="L371" s="8" t="s">
        <v>30</v>
      </c>
      <c r="M371" s="8" t="s">
        <v>30</v>
      </c>
      <c r="N371" s="8" t="s">
        <v>30</v>
      </c>
      <c r="O371" s="11"/>
      <c r="P371" s="7">
        <v>4</v>
      </c>
      <c r="Q371" s="7">
        <v>2</v>
      </c>
      <c r="R371" s="7">
        <v>2</v>
      </c>
      <c r="S371" s="7">
        <v>1</v>
      </c>
      <c r="T371" s="7" t="s">
        <v>169</v>
      </c>
    </row>
    <row r="372" spans="1:20" x14ac:dyDescent="0.25">
      <c r="A372" s="7" t="s">
        <v>272</v>
      </c>
      <c r="B372" s="7" t="s">
        <v>151</v>
      </c>
      <c r="C372" s="7" t="s">
        <v>230</v>
      </c>
      <c r="D372" s="7" t="s">
        <v>171</v>
      </c>
      <c r="H372" s="7">
        <v>10</v>
      </c>
      <c r="I372" s="7">
        <v>4</v>
      </c>
      <c r="J372" s="8">
        <f t="shared" si="5"/>
        <v>0.7142857142857143</v>
      </c>
      <c r="K372" s="8" t="s">
        <v>30</v>
      </c>
      <c r="L372" s="8" t="s">
        <v>30</v>
      </c>
      <c r="M372" s="8" t="s">
        <v>30</v>
      </c>
      <c r="N372" s="8"/>
      <c r="O372" s="11"/>
      <c r="P372" s="7">
        <v>4</v>
      </c>
      <c r="Q372" s="7">
        <v>2</v>
      </c>
      <c r="R372" s="7">
        <v>2</v>
      </c>
      <c r="S372" s="7">
        <v>0</v>
      </c>
      <c r="T372" s="7" t="s">
        <v>584</v>
      </c>
    </row>
    <row r="373" spans="1:20" x14ac:dyDescent="0.25">
      <c r="A373" s="7" t="s">
        <v>272</v>
      </c>
      <c r="B373" s="7" t="s">
        <v>151</v>
      </c>
      <c r="C373" s="7" t="s">
        <v>265</v>
      </c>
      <c r="D373" s="7" t="s">
        <v>154</v>
      </c>
      <c r="H373" s="7">
        <v>9</v>
      </c>
      <c r="I373" s="7">
        <v>5</v>
      </c>
      <c r="J373" s="8">
        <f t="shared" si="5"/>
        <v>0.6428571428571429</v>
      </c>
      <c r="K373" s="8" t="s">
        <v>30</v>
      </c>
      <c r="L373" s="8" t="s">
        <v>30</v>
      </c>
      <c r="M373" s="8" t="s">
        <v>30</v>
      </c>
      <c r="N373" s="8"/>
      <c r="O373" s="11"/>
      <c r="P373" s="7">
        <v>5</v>
      </c>
      <c r="Q373" s="7">
        <v>1</v>
      </c>
      <c r="R373" s="7">
        <v>2</v>
      </c>
      <c r="S373" s="7">
        <v>1</v>
      </c>
      <c r="T373" s="7" t="s">
        <v>177</v>
      </c>
    </row>
    <row r="374" spans="1:20" x14ac:dyDescent="0.25">
      <c r="A374" s="7" t="s">
        <v>272</v>
      </c>
      <c r="B374" s="7" t="s">
        <v>151</v>
      </c>
      <c r="C374" s="7" t="s">
        <v>162</v>
      </c>
      <c r="D374" s="7" t="s">
        <v>152</v>
      </c>
      <c r="H374" s="7">
        <v>12</v>
      </c>
      <c r="I374" s="7">
        <v>2</v>
      </c>
      <c r="J374" s="8">
        <f t="shared" si="5"/>
        <v>0.8571428571428571</v>
      </c>
      <c r="K374" s="8" t="s">
        <v>30</v>
      </c>
      <c r="L374" s="8"/>
      <c r="M374" s="8"/>
      <c r="N374" s="8"/>
      <c r="O374" s="11"/>
      <c r="P374" s="7">
        <v>3</v>
      </c>
      <c r="Q374" s="7">
        <v>3</v>
      </c>
      <c r="T374" s="7" t="s">
        <v>162</v>
      </c>
    </row>
    <row r="375" spans="1:20" x14ac:dyDescent="0.25">
      <c r="A375" s="7" t="s">
        <v>272</v>
      </c>
      <c r="B375" s="7" t="s">
        <v>151</v>
      </c>
      <c r="C375" s="7" t="s">
        <v>155</v>
      </c>
      <c r="D375" s="7" t="s">
        <v>154</v>
      </c>
      <c r="H375" s="7">
        <v>11</v>
      </c>
      <c r="I375" s="7">
        <v>3</v>
      </c>
      <c r="J375" s="8">
        <f t="shared" si="5"/>
        <v>0.7857142857142857</v>
      </c>
      <c r="K375" s="8" t="s">
        <v>30</v>
      </c>
      <c r="L375" s="8"/>
      <c r="M375" s="8"/>
      <c r="N375" s="8"/>
      <c r="O375" s="11"/>
      <c r="P375" s="7">
        <v>3</v>
      </c>
      <c r="Q375" s="7">
        <v>3</v>
      </c>
      <c r="T375" s="7" t="s">
        <v>155</v>
      </c>
    </row>
    <row r="376" spans="1:20" x14ac:dyDescent="0.25">
      <c r="A376" s="7" t="s">
        <v>272</v>
      </c>
      <c r="B376" s="7" t="s">
        <v>151</v>
      </c>
      <c r="C376" s="7" t="s">
        <v>235</v>
      </c>
      <c r="D376" s="7" t="s">
        <v>159</v>
      </c>
      <c r="H376" s="7">
        <v>11</v>
      </c>
      <c r="I376" s="7">
        <v>3</v>
      </c>
      <c r="J376" s="8">
        <f t="shared" si="5"/>
        <v>0.7857142857142857</v>
      </c>
      <c r="K376" s="8" t="s">
        <v>30</v>
      </c>
      <c r="L376" s="8"/>
      <c r="M376" s="8"/>
      <c r="N376" s="8"/>
      <c r="O376" s="11"/>
      <c r="P376" s="7">
        <v>2</v>
      </c>
      <c r="Q376" s="7">
        <v>4</v>
      </c>
      <c r="T376" s="7" t="s">
        <v>234</v>
      </c>
    </row>
    <row r="377" spans="1:20" x14ac:dyDescent="0.25">
      <c r="A377" s="7" t="s">
        <v>272</v>
      </c>
      <c r="B377" s="7" t="s">
        <v>151</v>
      </c>
      <c r="C377" s="7" t="s">
        <v>201</v>
      </c>
      <c r="D377" s="7" t="s">
        <v>154</v>
      </c>
      <c r="H377" s="7">
        <v>10</v>
      </c>
      <c r="I377" s="7">
        <v>4</v>
      </c>
      <c r="J377" s="8">
        <f t="shared" si="5"/>
        <v>0.7142857142857143</v>
      </c>
      <c r="K377" s="8" t="s">
        <v>30</v>
      </c>
      <c r="L377" s="8"/>
      <c r="M377" s="8"/>
      <c r="N377" s="8"/>
      <c r="O377" s="11"/>
      <c r="P377" s="7">
        <v>3</v>
      </c>
      <c r="Q377" s="7">
        <v>3</v>
      </c>
      <c r="T377" s="7" t="s">
        <v>201</v>
      </c>
    </row>
    <row r="378" spans="1:20" x14ac:dyDescent="0.25">
      <c r="A378" s="7" t="s">
        <v>272</v>
      </c>
      <c r="B378" s="7" t="s">
        <v>151</v>
      </c>
      <c r="C378" s="7" t="s">
        <v>581</v>
      </c>
      <c r="D378" s="7" t="s">
        <v>154</v>
      </c>
      <c r="H378" s="7">
        <v>9</v>
      </c>
      <c r="I378" s="7">
        <v>5</v>
      </c>
      <c r="J378" s="8">
        <f t="shared" si="5"/>
        <v>0.6428571428571429</v>
      </c>
      <c r="K378" s="8" t="s">
        <v>30</v>
      </c>
      <c r="L378" s="8" t="s">
        <v>30</v>
      </c>
      <c r="M378" s="8"/>
      <c r="N378" s="8"/>
      <c r="O378" s="11"/>
      <c r="P378" s="7">
        <v>3</v>
      </c>
      <c r="Q378" s="7">
        <v>3</v>
      </c>
      <c r="R378" s="7">
        <v>1</v>
      </c>
      <c r="S378" s="7">
        <v>2</v>
      </c>
      <c r="T378" s="7" t="s">
        <v>581</v>
      </c>
    </row>
    <row r="379" spans="1:20" x14ac:dyDescent="0.25">
      <c r="A379" s="7" t="s">
        <v>272</v>
      </c>
      <c r="B379" s="7" t="s">
        <v>151</v>
      </c>
      <c r="C379" s="7" t="s">
        <v>158</v>
      </c>
      <c r="D379" s="7" t="s">
        <v>159</v>
      </c>
      <c r="H379" s="7">
        <v>8</v>
      </c>
      <c r="I379" s="7">
        <v>6</v>
      </c>
      <c r="J379" s="8">
        <f t="shared" si="5"/>
        <v>0.5714285714285714</v>
      </c>
      <c r="K379" s="8" t="s">
        <v>30</v>
      </c>
      <c r="L379" s="8"/>
      <c r="M379" s="8"/>
      <c r="N379" s="8"/>
      <c r="O379" s="11"/>
      <c r="P379" s="7">
        <v>1</v>
      </c>
      <c r="Q379" s="7">
        <v>5</v>
      </c>
      <c r="T379" s="7" t="s">
        <v>158</v>
      </c>
    </row>
    <row r="380" spans="1:20" x14ac:dyDescent="0.25">
      <c r="A380" s="7" t="s">
        <v>272</v>
      </c>
      <c r="B380" s="7" t="s">
        <v>151</v>
      </c>
      <c r="C380" s="7" t="s">
        <v>178</v>
      </c>
      <c r="D380" s="7" t="s">
        <v>157</v>
      </c>
      <c r="H380" s="7">
        <v>8</v>
      </c>
      <c r="I380" s="7">
        <v>6</v>
      </c>
      <c r="J380" s="8">
        <f t="shared" si="5"/>
        <v>0.5714285714285714</v>
      </c>
      <c r="K380" s="8" t="s">
        <v>30</v>
      </c>
      <c r="L380" s="8"/>
      <c r="M380" s="8"/>
      <c r="N380" s="8"/>
      <c r="O380" s="11"/>
      <c r="P380" s="7">
        <v>1</v>
      </c>
      <c r="Q380" s="7">
        <v>5</v>
      </c>
      <c r="T380" s="7" t="s">
        <v>178</v>
      </c>
    </row>
    <row r="381" spans="1:20" x14ac:dyDescent="0.25">
      <c r="A381" s="7" t="s">
        <v>272</v>
      </c>
      <c r="B381" s="7" t="s">
        <v>151</v>
      </c>
      <c r="C381" s="7" t="s">
        <v>149</v>
      </c>
      <c r="D381" s="7" t="s">
        <v>152</v>
      </c>
      <c r="H381" s="7">
        <v>7</v>
      </c>
      <c r="I381" s="7">
        <v>7</v>
      </c>
      <c r="J381" s="8">
        <f t="shared" si="5"/>
        <v>0.5</v>
      </c>
      <c r="K381" s="8" t="s">
        <v>30</v>
      </c>
      <c r="L381" s="8" t="s">
        <v>30</v>
      </c>
      <c r="M381" s="8"/>
      <c r="N381" s="8"/>
      <c r="O381" s="11"/>
      <c r="P381" s="7">
        <v>4</v>
      </c>
      <c r="Q381" s="7">
        <v>2</v>
      </c>
      <c r="R381" s="7">
        <v>1</v>
      </c>
      <c r="S381" s="7">
        <v>2</v>
      </c>
      <c r="T381" s="7" t="s">
        <v>149</v>
      </c>
    </row>
    <row r="382" spans="1:20" x14ac:dyDescent="0.25">
      <c r="A382" s="7" t="s">
        <v>272</v>
      </c>
      <c r="B382" s="7" t="s">
        <v>151</v>
      </c>
      <c r="C382" s="7" t="s">
        <v>273</v>
      </c>
      <c r="D382" s="7" t="s">
        <v>152</v>
      </c>
      <c r="H382" s="7">
        <v>7</v>
      </c>
      <c r="I382" s="7">
        <v>7</v>
      </c>
      <c r="J382" s="8">
        <f t="shared" si="5"/>
        <v>0.5</v>
      </c>
      <c r="K382" s="8" t="s">
        <v>30</v>
      </c>
      <c r="L382" s="8"/>
      <c r="M382" s="8"/>
      <c r="N382" s="8"/>
      <c r="O382" s="11"/>
      <c r="P382" s="7">
        <v>2</v>
      </c>
      <c r="Q382" s="7">
        <v>4</v>
      </c>
      <c r="T382" s="7" t="s">
        <v>273</v>
      </c>
    </row>
    <row r="383" spans="1:20" x14ac:dyDescent="0.25">
      <c r="A383" s="7" t="s">
        <v>272</v>
      </c>
      <c r="B383" s="7" t="s">
        <v>151</v>
      </c>
      <c r="C383" s="7" t="s">
        <v>174</v>
      </c>
      <c r="D383" s="7" t="s">
        <v>166</v>
      </c>
      <c r="H383" s="7">
        <v>6</v>
      </c>
      <c r="I383" s="7">
        <v>8</v>
      </c>
      <c r="J383" s="8">
        <f t="shared" si="5"/>
        <v>0.42857142857142855</v>
      </c>
      <c r="K383" s="8" t="s">
        <v>30</v>
      </c>
      <c r="L383" s="8" t="s">
        <v>30</v>
      </c>
      <c r="M383" s="8"/>
      <c r="N383" s="8"/>
      <c r="O383" s="11"/>
      <c r="P383" s="7">
        <v>4</v>
      </c>
      <c r="Q383" s="7">
        <v>2</v>
      </c>
      <c r="R383" s="7">
        <v>1</v>
      </c>
      <c r="S383" s="7">
        <v>2</v>
      </c>
      <c r="T383" s="7" t="s">
        <v>174</v>
      </c>
    </row>
    <row r="384" spans="1:20" x14ac:dyDescent="0.25">
      <c r="A384" s="7" t="s">
        <v>272</v>
      </c>
      <c r="B384" s="7" t="s">
        <v>151</v>
      </c>
      <c r="C384" s="7" t="s">
        <v>156</v>
      </c>
      <c r="D384" s="7" t="s">
        <v>157</v>
      </c>
      <c r="H384" s="7">
        <v>6</v>
      </c>
      <c r="I384" s="7">
        <v>8</v>
      </c>
      <c r="J384" s="8">
        <f t="shared" si="5"/>
        <v>0.42857142857142855</v>
      </c>
      <c r="K384" s="8" t="s">
        <v>30</v>
      </c>
      <c r="L384" s="8" t="s">
        <v>30</v>
      </c>
      <c r="M384" s="8"/>
      <c r="N384" s="8"/>
      <c r="O384" s="11"/>
      <c r="P384" s="7">
        <v>3</v>
      </c>
      <c r="Q384" s="7">
        <v>3</v>
      </c>
      <c r="R384" s="7">
        <v>0</v>
      </c>
      <c r="S384" s="7">
        <v>2</v>
      </c>
      <c r="T384" s="7" t="s">
        <v>156</v>
      </c>
    </row>
    <row r="385" spans="1:20" x14ac:dyDescent="0.25">
      <c r="A385" s="7" t="s">
        <v>272</v>
      </c>
      <c r="B385" s="7" t="s">
        <v>151</v>
      </c>
      <c r="C385" s="7" t="s">
        <v>255</v>
      </c>
      <c r="D385" s="7" t="s">
        <v>171</v>
      </c>
      <c r="H385" s="7">
        <v>6</v>
      </c>
      <c r="I385" s="7">
        <v>8</v>
      </c>
      <c r="J385" s="8">
        <f t="shared" si="5"/>
        <v>0.42857142857142855</v>
      </c>
      <c r="K385" s="8" t="s">
        <v>30</v>
      </c>
      <c r="L385" s="8"/>
      <c r="M385" s="8"/>
      <c r="N385" s="8"/>
      <c r="O385" s="11"/>
      <c r="P385" s="7">
        <v>2</v>
      </c>
      <c r="Q385" s="7">
        <v>4</v>
      </c>
      <c r="T385" s="7" t="s">
        <v>255</v>
      </c>
    </row>
    <row r="386" spans="1:20" x14ac:dyDescent="0.25">
      <c r="A386" s="7" t="s">
        <v>272</v>
      </c>
      <c r="B386" s="7" t="s">
        <v>151</v>
      </c>
      <c r="C386" s="7" t="s">
        <v>257</v>
      </c>
      <c r="D386" s="7" t="s">
        <v>215</v>
      </c>
      <c r="H386" s="7">
        <v>4</v>
      </c>
      <c r="I386" s="7">
        <v>10</v>
      </c>
      <c r="J386" s="8">
        <f t="shared" ref="J386:J449" si="6">H386/SUM(H386:I386)</f>
        <v>0.2857142857142857</v>
      </c>
      <c r="K386" s="8"/>
      <c r="L386" s="8"/>
      <c r="M386" s="8"/>
      <c r="N386" s="8"/>
      <c r="O386" s="11"/>
      <c r="T386" s="7" t="s">
        <v>257</v>
      </c>
    </row>
    <row r="387" spans="1:20" x14ac:dyDescent="0.25">
      <c r="A387" s="7" t="s">
        <v>272</v>
      </c>
      <c r="B387" s="7" t="s">
        <v>151</v>
      </c>
      <c r="C387" s="7" t="s">
        <v>256</v>
      </c>
      <c r="D387" s="7" t="s">
        <v>164</v>
      </c>
      <c r="H387" s="7">
        <v>4</v>
      </c>
      <c r="I387" s="7">
        <v>10</v>
      </c>
      <c r="J387" s="8">
        <f t="shared" si="6"/>
        <v>0.2857142857142857</v>
      </c>
      <c r="K387" s="8"/>
      <c r="L387" s="8"/>
      <c r="M387" s="8"/>
      <c r="N387" s="8"/>
      <c r="O387" s="11"/>
      <c r="T387" s="7" t="s">
        <v>256</v>
      </c>
    </row>
    <row r="388" spans="1:20" x14ac:dyDescent="0.25">
      <c r="A388" s="7" t="s">
        <v>272</v>
      </c>
      <c r="B388" s="7" t="s">
        <v>151</v>
      </c>
      <c r="C388" s="7" t="s">
        <v>274</v>
      </c>
      <c r="D388" s="7" t="s">
        <v>220</v>
      </c>
      <c r="H388" s="7">
        <v>4</v>
      </c>
      <c r="I388" s="7">
        <v>10</v>
      </c>
      <c r="J388" s="8">
        <f t="shared" si="6"/>
        <v>0.2857142857142857</v>
      </c>
      <c r="K388" s="8"/>
      <c r="L388" s="8"/>
      <c r="M388" s="8"/>
      <c r="N388" s="8"/>
      <c r="O388" s="11"/>
      <c r="T388" s="7" t="s">
        <v>244</v>
      </c>
    </row>
    <row r="389" spans="1:20" x14ac:dyDescent="0.25">
      <c r="A389" s="7" t="s">
        <v>272</v>
      </c>
      <c r="B389" s="7" t="s">
        <v>151</v>
      </c>
      <c r="C389" s="7" t="s">
        <v>242</v>
      </c>
      <c r="D389" s="7" t="s">
        <v>243</v>
      </c>
      <c r="H389" s="7">
        <v>4</v>
      </c>
      <c r="I389" s="7">
        <v>10</v>
      </c>
      <c r="J389" s="8">
        <f t="shared" si="6"/>
        <v>0.2857142857142857</v>
      </c>
      <c r="K389" s="8"/>
      <c r="L389" s="8"/>
      <c r="M389" s="8"/>
      <c r="N389" s="8"/>
      <c r="O389" s="11"/>
      <c r="T389" s="7" t="s">
        <v>241</v>
      </c>
    </row>
    <row r="390" spans="1:20" x14ac:dyDescent="0.25">
      <c r="A390" s="7" t="s">
        <v>272</v>
      </c>
      <c r="B390" s="7" t="s">
        <v>151</v>
      </c>
      <c r="C390" s="7" t="s">
        <v>170</v>
      </c>
      <c r="D390" s="7" t="s">
        <v>171</v>
      </c>
      <c r="H390" s="7">
        <v>3</v>
      </c>
      <c r="I390" s="7">
        <v>11</v>
      </c>
      <c r="J390" s="8">
        <f t="shared" si="6"/>
        <v>0.21428571428571427</v>
      </c>
      <c r="K390" s="8"/>
      <c r="L390" s="8"/>
      <c r="M390" s="8"/>
      <c r="N390" s="8"/>
      <c r="O390" s="11"/>
      <c r="T390" s="7" t="s">
        <v>170</v>
      </c>
    </row>
    <row r="391" spans="1:20" x14ac:dyDescent="0.25">
      <c r="A391" s="7" t="s">
        <v>272</v>
      </c>
      <c r="B391" s="7" t="s">
        <v>151</v>
      </c>
      <c r="C391" s="7" t="s">
        <v>271</v>
      </c>
      <c r="D391" s="7" t="s">
        <v>164</v>
      </c>
      <c r="H391" s="7">
        <v>2</v>
      </c>
      <c r="I391" s="7">
        <v>12</v>
      </c>
      <c r="J391" s="8">
        <f t="shared" si="6"/>
        <v>0.14285714285714285</v>
      </c>
      <c r="K391" s="8"/>
      <c r="L391" s="8"/>
      <c r="M391" s="8"/>
      <c r="N391" s="8"/>
      <c r="O391" s="11"/>
      <c r="T391" s="7" t="s">
        <v>271</v>
      </c>
    </row>
    <row r="392" spans="1:20" x14ac:dyDescent="0.25">
      <c r="A392" s="7" t="s">
        <v>272</v>
      </c>
      <c r="B392" s="7" t="s">
        <v>151</v>
      </c>
      <c r="C392" s="7" t="s">
        <v>213</v>
      </c>
      <c r="D392" s="7" t="s">
        <v>173</v>
      </c>
      <c r="H392" s="7">
        <v>2</v>
      </c>
      <c r="I392" s="7">
        <v>12</v>
      </c>
      <c r="J392" s="8">
        <f t="shared" si="6"/>
        <v>0.14285714285714285</v>
      </c>
      <c r="K392" s="8"/>
      <c r="L392" s="8"/>
      <c r="M392" s="8"/>
      <c r="N392" s="8"/>
      <c r="O392" s="11"/>
      <c r="T392" s="7" t="s">
        <v>582</v>
      </c>
    </row>
    <row r="393" spans="1:20" x14ac:dyDescent="0.25">
      <c r="A393" s="7" t="s">
        <v>272</v>
      </c>
      <c r="B393" s="7" t="s">
        <v>151</v>
      </c>
      <c r="C393" s="7" t="s">
        <v>176</v>
      </c>
      <c r="D393" s="7" t="s">
        <v>171</v>
      </c>
      <c r="H393" s="7">
        <v>2</v>
      </c>
      <c r="I393" s="7">
        <v>12</v>
      </c>
      <c r="J393" s="8">
        <f t="shared" si="6"/>
        <v>0.14285714285714285</v>
      </c>
      <c r="K393" s="8"/>
      <c r="L393" s="8"/>
      <c r="M393" s="8"/>
      <c r="N393" s="8"/>
      <c r="O393" s="11"/>
      <c r="T393" s="7" t="s">
        <v>176</v>
      </c>
    </row>
    <row r="394" spans="1:20" x14ac:dyDescent="0.25">
      <c r="A394" s="7" t="s">
        <v>275</v>
      </c>
      <c r="B394" s="7" t="s">
        <v>151</v>
      </c>
      <c r="C394" s="7" t="s">
        <v>188</v>
      </c>
      <c r="D394" s="7" t="s">
        <v>187</v>
      </c>
      <c r="H394" s="7">
        <v>13</v>
      </c>
      <c r="I394" s="7">
        <v>1</v>
      </c>
      <c r="J394" s="8">
        <f t="shared" si="6"/>
        <v>0.9285714285714286</v>
      </c>
      <c r="K394" s="8" t="s">
        <v>30</v>
      </c>
      <c r="L394" s="8" t="s">
        <v>30</v>
      </c>
      <c r="M394" s="8" t="s">
        <v>30</v>
      </c>
      <c r="N394" s="8" t="s">
        <v>30</v>
      </c>
      <c r="O394" s="11"/>
      <c r="P394" s="7">
        <v>6</v>
      </c>
      <c r="Q394" s="7">
        <v>0</v>
      </c>
      <c r="R394" s="7">
        <v>2</v>
      </c>
      <c r="S394" s="7">
        <v>1</v>
      </c>
      <c r="T394" s="7" t="s">
        <v>188</v>
      </c>
    </row>
    <row r="395" spans="1:20" x14ac:dyDescent="0.25">
      <c r="A395" s="7" t="s">
        <v>275</v>
      </c>
      <c r="B395" s="7" t="s">
        <v>151</v>
      </c>
      <c r="C395" s="7" t="s">
        <v>265</v>
      </c>
      <c r="D395" s="7" t="s">
        <v>154</v>
      </c>
      <c r="H395" s="7">
        <v>12</v>
      </c>
      <c r="I395" s="7">
        <v>2</v>
      </c>
      <c r="J395" s="8">
        <f t="shared" si="6"/>
        <v>0.8571428571428571</v>
      </c>
      <c r="K395" s="8" t="s">
        <v>30</v>
      </c>
      <c r="L395" s="8" t="s">
        <v>30</v>
      </c>
      <c r="M395" s="8" t="s">
        <v>30</v>
      </c>
      <c r="N395" s="8"/>
      <c r="O395" s="11"/>
      <c r="P395" s="7">
        <v>6</v>
      </c>
      <c r="Q395" s="7">
        <v>0</v>
      </c>
      <c r="R395" s="7">
        <v>2</v>
      </c>
      <c r="S395" s="7">
        <v>0</v>
      </c>
      <c r="T395" s="7" t="s">
        <v>177</v>
      </c>
    </row>
    <row r="396" spans="1:20" x14ac:dyDescent="0.25">
      <c r="A396" s="7" t="s">
        <v>275</v>
      </c>
      <c r="B396" s="7" t="s">
        <v>151</v>
      </c>
      <c r="C396" s="7" t="s">
        <v>162</v>
      </c>
      <c r="D396" s="7" t="s">
        <v>152</v>
      </c>
      <c r="H396" s="7">
        <v>11</v>
      </c>
      <c r="I396" s="7">
        <v>3</v>
      </c>
      <c r="J396" s="8">
        <f t="shared" si="6"/>
        <v>0.7857142857142857</v>
      </c>
      <c r="K396" s="8" t="s">
        <v>30</v>
      </c>
      <c r="L396" s="8" t="s">
        <v>30</v>
      </c>
      <c r="M396" s="8" t="s">
        <v>30</v>
      </c>
      <c r="N396" s="8" t="s">
        <v>30</v>
      </c>
      <c r="O396" s="11" t="s">
        <v>30</v>
      </c>
      <c r="P396" s="7">
        <v>5</v>
      </c>
      <c r="Q396" s="7">
        <v>1</v>
      </c>
      <c r="R396" s="7">
        <v>2</v>
      </c>
      <c r="S396" s="7">
        <v>0</v>
      </c>
      <c r="T396" s="7" t="s">
        <v>162</v>
      </c>
    </row>
    <row r="397" spans="1:20" x14ac:dyDescent="0.25">
      <c r="A397" s="7" t="s">
        <v>275</v>
      </c>
      <c r="B397" s="7" t="s">
        <v>151</v>
      </c>
      <c r="C397" s="7" t="s">
        <v>201</v>
      </c>
      <c r="D397" s="7" t="s">
        <v>154</v>
      </c>
      <c r="H397" s="7">
        <v>7</v>
      </c>
      <c r="I397" s="7">
        <v>7</v>
      </c>
      <c r="J397" s="8">
        <f t="shared" si="6"/>
        <v>0.5</v>
      </c>
      <c r="K397" s="8" t="s">
        <v>30</v>
      </c>
      <c r="L397" s="8" t="s">
        <v>30</v>
      </c>
      <c r="M397" s="8" t="s">
        <v>30</v>
      </c>
      <c r="N397" s="8"/>
      <c r="O397" s="11"/>
      <c r="P397" s="7">
        <v>4</v>
      </c>
      <c r="Q397" s="7">
        <v>2</v>
      </c>
      <c r="R397" s="7">
        <v>2</v>
      </c>
      <c r="S397" s="7">
        <v>1</v>
      </c>
      <c r="T397" s="7" t="s">
        <v>201</v>
      </c>
    </row>
    <row r="398" spans="1:20" x14ac:dyDescent="0.25">
      <c r="A398" s="7" t="s">
        <v>275</v>
      </c>
      <c r="B398" s="7" t="s">
        <v>151</v>
      </c>
      <c r="C398" s="7" t="s">
        <v>277</v>
      </c>
      <c r="D398" s="7" t="s">
        <v>187</v>
      </c>
      <c r="H398" s="7">
        <v>10</v>
      </c>
      <c r="I398" s="7">
        <v>4</v>
      </c>
      <c r="J398" s="8">
        <f t="shared" si="6"/>
        <v>0.7142857142857143</v>
      </c>
      <c r="K398" s="8" t="s">
        <v>30</v>
      </c>
      <c r="L398" s="8" t="s">
        <v>30</v>
      </c>
      <c r="M398" s="8"/>
      <c r="N398" s="8"/>
      <c r="O398" s="11"/>
      <c r="P398" s="7">
        <v>4</v>
      </c>
      <c r="Q398" s="7">
        <v>2</v>
      </c>
      <c r="R398" s="7">
        <v>0</v>
      </c>
      <c r="S398" s="7">
        <v>2</v>
      </c>
      <c r="T398" s="7" t="s">
        <v>276</v>
      </c>
    </row>
    <row r="399" spans="1:20" x14ac:dyDescent="0.25">
      <c r="A399" s="7" t="s">
        <v>275</v>
      </c>
      <c r="B399" s="7" t="s">
        <v>151</v>
      </c>
      <c r="C399" s="7" t="s">
        <v>149</v>
      </c>
      <c r="D399" s="7" t="s">
        <v>152</v>
      </c>
      <c r="H399" s="7">
        <v>10</v>
      </c>
      <c r="I399" s="7">
        <v>4</v>
      </c>
      <c r="J399" s="8">
        <f t="shared" si="6"/>
        <v>0.7142857142857143</v>
      </c>
      <c r="K399" s="8" t="s">
        <v>30</v>
      </c>
      <c r="L399" s="8" t="s">
        <v>30</v>
      </c>
      <c r="M399" s="8"/>
      <c r="N399" s="8"/>
      <c r="O399" s="11"/>
      <c r="P399" s="7">
        <v>3</v>
      </c>
      <c r="Q399" s="7">
        <v>3</v>
      </c>
      <c r="R399" s="7">
        <v>0</v>
      </c>
      <c r="S399" s="7">
        <v>2</v>
      </c>
      <c r="T399" s="7" t="s">
        <v>149</v>
      </c>
    </row>
    <row r="400" spans="1:20" x14ac:dyDescent="0.25">
      <c r="A400" s="7" t="s">
        <v>275</v>
      </c>
      <c r="B400" s="7" t="s">
        <v>151</v>
      </c>
      <c r="C400" s="7" t="s">
        <v>581</v>
      </c>
      <c r="D400" s="7" t="s">
        <v>154</v>
      </c>
      <c r="H400" s="7">
        <v>9</v>
      </c>
      <c r="I400" s="7">
        <v>5</v>
      </c>
      <c r="J400" s="8">
        <f t="shared" si="6"/>
        <v>0.6428571428571429</v>
      </c>
      <c r="K400" s="8" t="s">
        <v>30</v>
      </c>
      <c r="L400" s="8" t="s">
        <v>30</v>
      </c>
      <c r="M400" s="8"/>
      <c r="N400" s="8"/>
      <c r="O400" s="11"/>
      <c r="P400" s="7">
        <v>4</v>
      </c>
      <c r="Q400" s="7">
        <v>2</v>
      </c>
      <c r="R400" s="7">
        <v>1</v>
      </c>
      <c r="S400" s="7">
        <v>2</v>
      </c>
      <c r="T400" s="7" t="s">
        <v>581</v>
      </c>
    </row>
    <row r="401" spans="1:20" x14ac:dyDescent="0.25">
      <c r="A401" s="7" t="s">
        <v>275</v>
      </c>
      <c r="B401" s="7" t="s">
        <v>151</v>
      </c>
      <c r="C401" s="7" t="s">
        <v>169</v>
      </c>
      <c r="D401" s="7" t="s">
        <v>161</v>
      </c>
      <c r="H401" s="7">
        <v>8</v>
      </c>
      <c r="I401" s="7">
        <v>6</v>
      </c>
      <c r="J401" s="8">
        <f t="shared" si="6"/>
        <v>0.5714285714285714</v>
      </c>
      <c r="K401" s="8" t="s">
        <v>30</v>
      </c>
      <c r="L401" s="8" t="s">
        <v>30</v>
      </c>
      <c r="M401" s="8"/>
      <c r="N401" s="8"/>
      <c r="O401" s="11"/>
      <c r="P401" s="7">
        <v>4</v>
      </c>
      <c r="Q401" s="7">
        <v>2</v>
      </c>
      <c r="R401" s="7">
        <v>1</v>
      </c>
      <c r="S401" s="7">
        <v>2</v>
      </c>
      <c r="T401" s="7" t="s">
        <v>169</v>
      </c>
    </row>
    <row r="402" spans="1:20" x14ac:dyDescent="0.25">
      <c r="A402" s="7" t="s">
        <v>275</v>
      </c>
      <c r="B402" s="7" t="s">
        <v>151</v>
      </c>
      <c r="C402" s="7" t="s">
        <v>278</v>
      </c>
      <c r="D402" s="7" t="s">
        <v>171</v>
      </c>
      <c r="H402" s="7">
        <v>8</v>
      </c>
      <c r="I402" s="7">
        <v>6</v>
      </c>
      <c r="J402" s="8">
        <f t="shared" si="6"/>
        <v>0.5714285714285714</v>
      </c>
      <c r="K402" s="8" t="s">
        <v>30</v>
      </c>
      <c r="L402" s="8"/>
      <c r="M402" s="8"/>
      <c r="N402" s="8"/>
      <c r="O402" s="11"/>
      <c r="P402" s="7">
        <v>3</v>
      </c>
      <c r="Q402" s="7">
        <v>3</v>
      </c>
      <c r="T402" s="7" t="s">
        <v>278</v>
      </c>
    </row>
    <row r="403" spans="1:20" x14ac:dyDescent="0.25">
      <c r="A403" s="7" t="s">
        <v>275</v>
      </c>
      <c r="B403" s="7" t="s">
        <v>151</v>
      </c>
      <c r="C403" s="7" t="s">
        <v>178</v>
      </c>
      <c r="D403" s="7" t="s">
        <v>157</v>
      </c>
      <c r="H403" s="7">
        <v>8</v>
      </c>
      <c r="I403" s="7">
        <v>6</v>
      </c>
      <c r="J403" s="8">
        <f t="shared" si="6"/>
        <v>0.5714285714285714</v>
      </c>
      <c r="K403" s="8" t="s">
        <v>30</v>
      </c>
      <c r="L403" s="8"/>
      <c r="M403" s="8"/>
      <c r="N403" s="8"/>
      <c r="O403" s="11"/>
      <c r="P403" s="7">
        <v>2</v>
      </c>
      <c r="Q403" s="7">
        <v>4</v>
      </c>
      <c r="T403" s="7" t="s">
        <v>178</v>
      </c>
    </row>
    <row r="404" spans="1:20" x14ac:dyDescent="0.25">
      <c r="A404" s="7" t="s">
        <v>275</v>
      </c>
      <c r="B404" s="7" t="s">
        <v>151</v>
      </c>
      <c r="C404" s="7" t="s">
        <v>280</v>
      </c>
      <c r="D404" s="7" t="s">
        <v>164</v>
      </c>
      <c r="H404" s="7">
        <v>7</v>
      </c>
      <c r="I404" s="7">
        <v>7</v>
      </c>
      <c r="J404" s="8">
        <f t="shared" si="6"/>
        <v>0.5</v>
      </c>
      <c r="K404" s="8" t="s">
        <v>30</v>
      </c>
      <c r="L404" s="8"/>
      <c r="M404" s="8"/>
      <c r="N404" s="8"/>
      <c r="O404" s="11"/>
      <c r="P404" s="7">
        <v>1</v>
      </c>
      <c r="Q404" s="7">
        <v>5</v>
      </c>
      <c r="T404" s="7" t="s">
        <v>279</v>
      </c>
    </row>
    <row r="405" spans="1:20" x14ac:dyDescent="0.25">
      <c r="A405" s="7" t="s">
        <v>275</v>
      </c>
      <c r="B405" s="7" t="s">
        <v>151</v>
      </c>
      <c r="C405" s="7" t="s">
        <v>267</v>
      </c>
      <c r="D405" s="7" t="s">
        <v>154</v>
      </c>
      <c r="H405" s="7">
        <v>7</v>
      </c>
      <c r="I405" s="7">
        <v>7</v>
      </c>
      <c r="J405" s="8">
        <f t="shared" si="6"/>
        <v>0.5</v>
      </c>
      <c r="K405" s="8" t="s">
        <v>30</v>
      </c>
      <c r="L405" s="8"/>
      <c r="M405" s="8"/>
      <c r="N405" s="8"/>
      <c r="O405" s="11"/>
      <c r="P405" s="7">
        <v>1</v>
      </c>
      <c r="Q405" s="7">
        <v>5</v>
      </c>
      <c r="T405" s="7" t="s">
        <v>267</v>
      </c>
    </row>
    <row r="406" spans="1:20" x14ac:dyDescent="0.25">
      <c r="A406" s="7" t="s">
        <v>275</v>
      </c>
      <c r="B406" s="7" t="s">
        <v>151</v>
      </c>
      <c r="C406" s="7" t="s">
        <v>174</v>
      </c>
      <c r="D406" s="7" t="s">
        <v>166</v>
      </c>
      <c r="H406" s="7">
        <v>6</v>
      </c>
      <c r="I406" s="7">
        <v>8</v>
      </c>
      <c r="J406" s="8">
        <f t="shared" si="6"/>
        <v>0.42857142857142855</v>
      </c>
      <c r="K406" s="8" t="s">
        <v>30</v>
      </c>
      <c r="L406" s="8"/>
      <c r="M406" s="8"/>
      <c r="N406" s="8"/>
      <c r="O406" s="11"/>
      <c r="P406" s="7">
        <v>2</v>
      </c>
      <c r="Q406" s="7">
        <v>4</v>
      </c>
      <c r="T406" s="7" t="s">
        <v>174</v>
      </c>
    </row>
    <row r="407" spans="1:20" x14ac:dyDescent="0.25">
      <c r="A407" s="7" t="s">
        <v>275</v>
      </c>
      <c r="B407" s="7" t="s">
        <v>151</v>
      </c>
      <c r="C407" s="7" t="s">
        <v>273</v>
      </c>
      <c r="D407" s="7" t="s">
        <v>152</v>
      </c>
      <c r="H407" s="7">
        <v>6</v>
      </c>
      <c r="I407" s="7">
        <v>8</v>
      </c>
      <c r="J407" s="8">
        <f t="shared" si="6"/>
        <v>0.42857142857142855</v>
      </c>
      <c r="K407" s="8" t="s">
        <v>30</v>
      </c>
      <c r="L407" s="8"/>
      <c r="M407" s="8"/>
      <c r="N407" s="8"/>
      <c r="O407" s="11"/>
      <c r="P407" s="7">
        <v>1</v>
      </c>
      <c r="Q407" s="7">
        <v>5</v>
      </c>
      <c r="T407" s="7" t="s">
        <v>273</v>
      </c>
    </row>
    <row r="408" spans="1:20" x14ac:dyDescent="0.25">
      <c r="A408" s="7" t="s">
        <v>275</v>
      </c>
      <c r="B408" s="7" t="s">
        <v>151</v>
      </c>
      <c r="C408" s="7" t="s">
        <v>255</v>
      </c>
      <c r="D408" s="7" t="s">
        <v>171</v>
      </c>
      <c r="H408" s="7">
        <v>6</v>
      </c>
      <c r="I408" s="7">
        <v>8</v>
      </c>
      <c r="J408" s="8">
        <f t="shared" si="6"/>
        <v>0.42857142857142855</v>
      </c>
      <c r="K408" s="8" t="s">
        <v>30</v>
      </c>
      <c r="L408" s="8"/>
      <c r="M408" s="8"/>
      <c r="N408" s="8"/>
      <c r="O408" s="11"/>
      <c r="P408" s="7">
        <v>1</v>
      </c>
      <c r="Q408" s="7">
        <v>5</v>
      </c>
      <c r="T408" s="7" t="s">
        <v>255</v>
      </c>
    </row>
    <row r="409" spans="1:20" x14ac:dyDescent="0.25">
      <c r="A409" s="7" t="s">
        <v>275</v>
      </c>
      <c r="B409" s="7" t="s">
        <v>151</v>
      </c>
      <c r="C409" s="7" t="s">
        <v>274</v>
      </c>
      <c r="D409" s="7" t="s">
        <v>220</v>
      </c>
      <c r="H409" s="7">
        <v>5</v>
      </c>
      <c r="I409" s="7">
        <v>9</v>
      </c>
      <c r="J409" s="8">
        <f t="shared" si="6"/>
        <v>0.35714285714285715</v>
      </c>
      <c r="K409" s="8" t="s">
        <v>30</v>
      </c>
      <c r="L409" s="8"/>
      <c r="M409" s="8"/>
      <c r="N409" s="8"/>
      <c r="O409" s="11"/>
      <c r="P409" s="7">
        <v>1</v>
      </c>
      <c r="Q409" s="7">
        <v>5</v>
      </c>
      <c r="T409" s="7" t="s">
        <v>244</v>
      </c>
    </row>
    <row r="410" spans="1:20" x14ac:dyDescent="0.25">
      <c r="A410" s="7" t="s">
        <v>275</v>
      </c>
      <c r="B410" s="7" t="s">
        <v>151</v>
      </c>
      <c r="C410" s="7" t="s">
        <v>257</v>
      </c>
      <c r="D410" s="7" t="s">
        <v>215</v>
      </c>
      <c r="H410" s="7">
        <v>6</v>
      </c>
      <c r="I410" s="7">
        <v>8</v>
      </c>
      <c r="J410" s="8">
        <f t="shared" si="6"/>
        <v>0.42857142857142855</v>
      </c>
      <c r="K410" s="8"/>
      <c r="L410" s="8"/>
      <c r="M410" s="8"/>
      <c r="N410" s="8"/>
      <c r="O410" s="11"/>
      <c r="T410" s="7" t="s">
        <v>257</v>
      </c>
    </row>
    <row r="411" spans="1:20" x14ac:dyDescent="0.25">
      <c r="A411" s="7" t="s">
        <v>275</v>
      </c>
      <c r="B411" s="7" t="s">
        <v>151</v>
      </c>
      <c r="C411" s="7" t="s">
        <v>281</v>
      </c>
      <c r="D411" s="7" t="s">
        <v>171</v>
      </c>
      <c r="H411" s="7">
        <v>6</v>
      </c>
      <c r="I411" s="7">
        <v>8</v>
      </c>
      <c r="J411" s="8">
        <f t="shared" si="6"/>
        <v>0.42857142857142855</v>
      </c>
      <c r="K411" s="8"/>
      <c r="L411" s="8"/>
      <c r="M411" s="8"/>
      <c r="N411" s="8"/>
      <c r="O411" s="11"/>
      <c r="T411" s="7" t="s">
        <v>281</v>
      </c>
    </row>
    <row r="412" spans="1:20" x14ac:dyDescent="0.25">
      <c r="A412" s="7" t="s">
        <v>275</v>
      </c>
      <c r="B412" s="7" t="s">
        <v>151</v>
      </c>
      <c r="C412" s="7" t="s">
        <v>176</v>
      </c>
      <c r="D412" s="7" t="s">
        <v>171</v>
      </c>
      <c r="H412" s="7">
        <v>5</v>
      </c>
      <c r="I412" s="7">
        <v>9</v>
      </c>
      <c r="J412" s="8">
        <f t="shared" si="6"/>
        <v>0.35714285714285715</v>
      </c>
      <c r="K412" s="8"/>
      <c r="L412" s="8"/>
      <c r="M412" s="8"/>
      <c r="N412" s="8"/>
      <c r="O412" s="11"/>
      <c r="T412" s="7" t="s">
        <v>176</v>
      </c>
    </row>
    <row r="413" spans="1:20" x14ac:dyDescent="0.25">
      <c r="A413" s="7" t="s">
        <v>275</v>
      </c>
      <c r="B413" s="7" t="s">
        <v>151</v>
      </c>
      <c r="C413" s="7" t="s">
        <v>242</v>
      </c>
      <c r="D413" s="7" t="s">
        <v>243</v>
      </c>
      <c r="H413" s="7">
        <v>5</v>
      </c>
      <c r="I413" s="7">
        <v>9</v>
      </c>
      <c r="J413" s="8">
        <f t="shared" si="6"/>
        <v>0.35714285714285715</v>
      </c>
      <c r="K413" s="8"/>
      <c r="L413" s="8"/>
      <c r="M413" s="8"/>
      <c r="N413" s="8"/>
      <c r="O413" s="11"/>
      <c r="T413" s="7" t="s">
        <v>241</v>
      </c>
    </row>
    <row r="414" spans="1:20" x14ac:dyDescent="0.25">
      <c r="A414" s="7" t="s">
        <v>275</v>
      </c>
      <c r="B414" s="7" t="s">
        <v>151</v>
      </c>
      <c r="C414" s="7" t="s">
        <v>156</v>
      </c>
      <c r="D414" s="7" t="s">
        <v>157</v>
      </c>
      <c r="H414" s="7">
        <v>5</v>
      </c>
      <c r="I414" s="7">
        <v>9</v>
      </c>
      <c r="J414" s="8">
        <f t="shared" si="6"/>
        <v>0.35714285714285715</v>
      </c>
      <c r="K414" s="8"/>
      <c r="L414" s="8"/>
      <c r="M414" s="8"/>
      <c r="N414" s="8"/>
      <c r="O414" s="11"/>
      <c r="T414" s="7" t="s">
        <v>156</v>
      </c>
    </row>
    <row r="415" spans="1:20" x14ac:dyDescent="0.25">
      <c r="A415" s="7" t="s">
        <v>275</v>
      </c>
      <c r="B415" s="7" t="s">
        <v>151</v>
      </c>
      <c r="C415" s="7" t="s">
        <v>271</v>
      </c>
      <c r="D415" s="7" t="s">
        <v>164</v>
      </c>
      <c r="H415" s="7">
        <v>4</v>
      </c>
      <c r="I415" s="7">
        <v>10</v>
      </c>
      <c r="J415" s="8">
        <f t="shared" si="6"/>
        <v>0.2857142857142857</v>
      </c>
      <c r="K415" s="8"/>
      <c r="L415" s="8"/>
      <c r="M415" s="8"/>
      <c r="N415" s="8"/>
      <c r="O415" s="11"/>
      <c r="T415" s="7" t="s">
        <v>271</v>
      </c>
    </row>
    <row r="416" spans="1:20" x14ac:dyDescent="0.25">
      <c r="A416" s="7" t="s">
        <v>275</v>
      </c>
      <c r="B416" s="7" t="s">
        <v>151</v>
      </c>
      <c r="C416" s="7" t="s">
        <v>283</v>
      </c>
      <c r="D416" s="7" t="s">
        <v>173</v>
      </c>
      <c r="H416" s="7">
        <v>2</v>
      </c>
      <c r="I416" s="7">
        <v>12</v>
      </c>
      <c r="J416" s="8">
        <f t="shared" si="6"/>
        <v>0.14285714285714285</v>
      </c>
      <c r="K416" s="8"/>
      <c r="L416" s="8"/>
      <c r="M416" s="8"/>
      <c r="N416" s="8"/>
      <c r="O416" s="11"/>
      <c r="T416" s="7" t="s">
        <v>282</v>
      </c>
    </row>
    <row r="417" spans="1:20" x14ac:dyDescent="0.25">
      <c r="A417" s="7" t="s">
        <v>275</v>
      </c>
      <c r="B417" s="7" t="s">
        <v>151</v>
      </c>
      <c r="C417" s="7" t="s">
        <v>158</v>
      </c>
      <c r="D417" s="7" t="s">
        <v>159</v>
      </c>
      <c r="H417" s="7">
        <v>2</v>
      </c>
      <c r="I417" s="7">
        <v>12</v>
      </c>
      <c r="J417" s="8">
        <f t="shared" si="6"/>
        <v>0.14285714285714285</v>
      </c>
      <c r="K417" s="8"/>
      <c r="L417" s="8"/>
      <c r="M417" s="8"/>
      <c r="N417" s="8"/>
      <c r="O417" s="11"/>
      <c r="T417" s="7" t="s">
        <v>158</v>
      </c>
    </row>
    <row r="418" spans="1:20" x14ac:dyDescent="0.25">
      <c r="A418" s="7" t="s">
        <v>284</v>
      </c>
      <c r="B418" s="7" t="s">
        <v>151</v>
      </c>
      <c r="C418" s="7" t="s">
        <v>265</v>
      </c>
      <c r="D418" s="7" t="s">
        <v>154</v>
      </c>
      <c r="H418" s="7">
        <v>11</v>
      </c>
      <c r="I418" s="7">
        <v>3</v>
      </c>
      <c r="J418" s="8">
        <f t="shared" si="6"/>
        <v>0.7857142857142857</v>
      </c>
      <c r="K418" s="8" t="s">
        <v>30</v>
      </c>
      <c r="L418" s="8" t="s">
        <v>30</v>
      </c>
      <c r="M418" s="8" t="s">
        <v>30</v>
      </c>
      <c r="N418" s="8"/>
      <c r="O418" s="11"/>
      <c r="P418" s="7">
        <v>4</v>
      </c>
      <c r="Q418" s="7">
        <v>2</v>
      </c>
      <c r="R418" s="7">
        <v>2</v>
      </c>
      <c r="S418" s="7">
        <v>1</v>
      </c>
      <c r="T418" s="7" t="s">
        <v>177</v>
      </c>
    </row>
    <row r="419" spans="1:20" x14ac:dyDescent="0.25">
      <c r="A419" s="7" t="s">
        <v>284</v>
      </c>
      <c r="B419" s="7" t="s">
        <v>151</v>
      </c>
      <c r="C419" s="7" t="s">
        <v>188</v>
      </c>
      <c r="D419" s="7" t="s">
        <v>187</v>
      </c>
      <c r="H419" s="7">
        <v>10</v>
      </c>
      <c r="I419" s="7">
        <v>4</v>
      </c>
      <c r="J419" s="8">
        <f t="shared" si="6"/>
        <v>0.7142857142857143</v>
      </c>
      <c r="K419" s="8" t="s">
        <v>30</v>
      </c>
      <c r="L419" s="8" t="s">
        <v>30</v>
      </c>
      <c r="M419" s="8" t="s">
        <v>30</v>
      </c>
      <c r="N419" s="8" t="s">
        <v>30</v>
      </c>
      <c r="O419" s="11" t="s">
        <v>30</v>
      </c>
      <c r="P419" s="7">
        <v>5</v>
      </c>
      <c r="Q419" s="7">
        <v>1</v>
      </c>
      <c r="R419" s="7">
        <v>2</v>
      </c>
      <c r="S419" s="7">
        <v>0</v>
      </c>
      <c r="T419" s="7" t="s">
        <v>188</v>
      </c>
    </row>
    <row r="420" spans="1:20" x14ac:dyDescent="0.25">
      <c r="A420" s="7" t="s">
        <v>284</v>
      </c>
      <c r="B420" s="7" t="s">
        <v>151</v>
      </c>
      <c r="C420" s="7" t="s">
        <v>169</v>
      </c>
      <c r="D420" s="7" t="s">
        <v>161</v>
      </c>
      <c r="H420" s="7">
        <v>9</v>
      </c>
      <c r="I420" s="7">
        <v>5</v>
      </c>
      <c r="J420" s="8">
        <f t="shared" si="6"/>
        <v>0.6428571428571429</v>
      </c>
      <c r="K420" s="8" t="s">
        <v>30</v>
      </c>
      <c r="L420" s="8" t="s">
        <v>30</v>
      </c>
      <c r="M420" s="8" t="s">
        <v>30</v>
      </c>
      <c r="N420" s="8" t="s">
        <v>30</v>
      </c>
      <c r="O420" s="11"/>
      <c r="P420" s="7">
        <v>5</v>
      </c>
      <c r="Q420" s="7">
        <v>1</v>
      </c>
      <c r="R420" s="7">
        <v>2</v>
      </c>
      <c r="S420" s="7">
        <v>1</v>
      </c>
      <c r="T420" s="7" t="s">
        <v>169</v>
      </c>
    </row>
    <row r="421" spans="1:20" x14ac:dyDescent="0.25">
      <c r="A421" s="7" t="s">
        <v>284</v>
      </c>
      <c r="B421" s="7" t="s">
        <v>151</v>
      </c>
      <c r="C421" s="7" t="s">
        <v>581</v>
      </c>
      <c r="D421" s="7" t="s">
        <v>154</v>
      </c>
      <c r="H421" s="7">
        <v>7</v>
      </c>
      <c r="I421" s="7">
        <v>7</v>
      </c>
      <c r="J421" s="8">
        <f t="shared" si="6"/>
        <v>0.5</v>
      </c>
      <c r="K421" s="8" t="s">
        <v>30</v>
      </c>
      <c r="L421" s="8" t="s">
        <v>30</v>
      </c>
      <c r="M421" s="8" t="s">
        <v>30</v>
      </c>
      <c r="N421" s="8"/>
      <c r="O421" s="11"/>
      <c r="P421" s="7">
        <v>5</v>
      </c>
      <c r="Q421" s="7">
        <v>1</v>
      </c>
      <c r="R421" s="7">
        <v>2</v>
      </c>
      <c r="S421" s="7">
        <v>1</v>
      </c>
      <c r="T421" s="7" t="s">
        <v>581</v>
      </c>
    </row>
    <row r="422" spans="1:20" x14ac:dyDescent="0.25">
      <c r="A422" s="7" t="s">
        <v>284</v>
      </c>
      <c r="B422" s="7" t="s">
        <v>151</v>
      </c>
      <c r="C422" s="7" t="s">
        <v>162</v>
      </c>
      <c r="D422" s="7" t="s">
        <v>152</v>
      </c>
      <c r="H422" s="7">
        <v>12</v>
      </c>
      <c r="I422" s="7">
        <v>2</v>
      </c>
      <c r="J422" s="8">
        <f t="shared" si="6"/>
        <v>0.8571428571428571</v>
      </c>
      <c r="K422" s="8" t="s">
        <v>30</v>
      </c>
      <c r="L422" s="8" t="s">
        <v>30</v>
      </c>
      <c r="M422" s="8"/>
      <c r="N422" s="8"/>
      <c r="O422" s="11"/>
      <c r="P422" s="7">
        <v>3</v>
      </c>
      <c r="Q422" s="7">
        <v>3</v>
      </c>
      <c r="R422" s="7">
        <v>1</v>
      </c>
      <c r="S422" s="7">
        <v>2</v>
      </c>
      <c r="T422" s="7" t="s">
        <v>162</v>
      </c>
    </row>
    <row r="423" spans="1:20" x14ac:dyDescent="0.25">
      <c r="A423" s="7" t="s">
        <v>284</v>
      </c>
      <c r="B423" s="7" t="s">
        <v>151</v>
      </c>
      <c r="C423" s="7" t="s">
        <v>201</v>
      </c>
      <c r="D423" s="7" t="s">
        <v>154</v>
      </c>
      <c r="H423" s="7">
        <v>12</v>
      </c>
      <c r="I423" s="7">
        <v>2</v>
      </c>
      <c r="J423" s="8">
        <f t="shared" si="6"/>
        <v>0.8571428571428571</v>
      </c>
      <c r="K423" s="8" t="s">
        <v>30</v>
      </c>
      <c r="L423" s="8"/>
      <c r="M423" s="8"/>
      <c r="N423" s="8"/>
      <c r="O423" s="11"/>
      <c r="P423" s="7">
        <v>3</v>
      </c>
      <c r="Q423" s="7">
        <v>3</v>
      </c>
      <c r="T423" s="7" t="s">
        <v>201</v>
      </c>
    </row>
    <row r="424" spans="1:20" x14ac:dyDescent="0.25">
      <c r="A424" s="7" t="s">
        <v>284</v>
      </c>
      <c r="B424" s="7" t="s">
        <v>151</v>
      </c>
      <c r="C424" s="7" t="s">
        <v>176</v>
      </c>
      <c r="D424" s="7" t="s">
        <v>171</v>
      </c>
      <c r="H424" s="7">
        <v>10</v>
      </c>
      <c r="I424" s="7">
        <v>4</v>
      </c>
      <c r="J424" s="8">
        <f t="shared" si="6"/>
        <v>0.7142857142857143</v>
      </c>
      <c r="K424" s="8" t="s">
        <v>30</v>
      </c>
      <c r="L424" s="8"/>
      <c r="M424" s="8"/>
      <c r="N424" s="8"/>
      <c r="O424" s="11"/>
      <c r="P424" s="7">
        <v>2</v>
      </c>
      <c r="Q424" s="7">
        <v>4</v>
      </c>
      <c r="T424" s="7" t="s">
        <v>176</v>
      </c>
    </row>
    <row r="425" spans="1:20" x14ac:dyDescent="0.25">
      <c r="A425" s="7" t="s">
        <v>284</v>
      </c>
      <c r="B425" s="7" t="s">
        <v>151</v>
      </c>
      <c r="C425" s="7" t="s">
        <v>178</v>
      </c>
      <c r="D425" s="7" t="s">
        <v>157</v>
      </c>
      <c r="H425" s="7">
        <v>9</v>
      </c>
      <c r="I425" s="7">
        <v>5</v>
      </c>
      <c r="J425" s="8">
        <f t="shared" si="6"/>
        <v>0.6428571428571429</v>
      </c>
      <c r="K425" s="8" t="s">
        <v>30</v>
      </c>
      <c r="L425" s="8" t="s">
        <v>30</v>
      </c>
      <c r="M425" s="8"/>
      <c r="N425" s="8"/>
      <c r="O425" s="11"/>
      <c r="P425" s="7">
        <v>3</v>
      </c>
      <c r="Q425" s="7">
        <v>3</v>
      </c>
      <c r="R425" s="7">
        <v>0</v>
      </c>
      <c r="S425" s="7">
        <v>2</v>
      </c>
      <c r="T425" s="7" t="s">
        <v>178</v>
      </c>
    </row>
    <row r="426" spans="1:20" x14ac:dyDescent="0.25">
      <c r="A426" s="7" t="s">
        <v>284</v>
      </c>
      <c r="B426" s="7" t="s">
        <v>151</v>
      </c>
      <c r="C426" s="7" t="s">
        <v>158</v>
      </c>
      <c r="D426" s="7" t="s">
        <v>159</v>
      </c>
      <c r="H426" s="7">
        <v>9</v>
      </c>
      <c r="I426" s="7">
        <v>5</v>
      </c>
      <c r="J426" s="8">
        <f t="shared" si="6"/>
        <v>0.6428571428571429</v>
      </c>
      <c r="K426" s="8" t="s">
        <v>30</v>
      </c>
      <c r="L426" s="8"/>
      <c r="M426" s="8"/>
      <c r="N426" s="8"/>
      <c r="O426" s="11"/>
      <c r="P426" s="7">
        <v>0</v>
      </c>
      <c r="Q426" s="7">
        <v>6</v>
      </c>
      <c r="T426" s="7" t="s">
        <v>158</v>
      </c>
    </row>
    <row r="427" spans="1:20" x14ac:dyDescent="0.25">
      <c r="A427" s="7" t="s">
        <v>284</v>
      </c>
      <c r="B427" s="7" t="s">
        <v>151</v>
      </c>
      <c r="C427" s="7" t="s">
        <v>278</v>
      </c>
      <c r="D427" s="7" t="s">
        <v>171</v>
      </c>
      <c r="H427" s="7">
        <v>8</v>
      </c>
      <c r="I427" s="7">
        <v>6</v>
      </c>
      <c r="J427" s="8">
        <f t="shared" si="6"/>
        <v>0.5714285714285714</v>
      </c>
      <c r="K427" s="8" t="s">
        <v>30</v>
      </c>
      <c r="L427" s="8"/>
      <c r="M427" s="8"/>
      <c r="N427" s="8"/>
      <c r="O427" s="11"/>
      <c r="P427" s="7">
        <v>3</v>
      </c>
      <c r="Q427" s="7">
        <v>3</v>
      </c>
      <c r="T427" s="7" t="s">
        <v>278</v>
      </c>
    </row>
    <row r="428" spans="1:20" x14ac:dyDescent="0.25">
      <c r="A428" s="7" t="s">
        <v>284</v>
      </c>
      <c r="B428" s="7" t="s">
        <v>151</v>
      </c>
      <c r="C428" s="7" t="s">
        <v>235</v>
      </c>
      <c r="D428" s="7" t="s">
        <v>159</v>
      </c>
      <c r="H428" s="7">
        <v>8</v>
      </c>
      <c r="I428" s="7">
        <v>6</v>
      </c>
      <c r="J428" s="8">
        <f t="shared" si="6"/>
        <v>0.5714285714285714</v>
      </c>
      <c r="K428" s="8" t="s">
        <v>30</v>
      </c>
      <c r="L428" s="8"/>
      <c r="M428" s="8"/>
      <c r="N428" s="8"/>
      <c r="O428" s="11"/>
      <c r="P428" s="7">
        <v>3</v>
      </c>
      <c r="Q428" s="7">
        <v>3</v>
      </c>
      <c r="T428" s="7" t="s">
        <v>234</v>
      </c>
    </row>
    <row r="429" spans="1:20" x14ac:dyDescent="0.25">
      <c r="A429" s="7" t="s">
        <v>284</v>
      </c>
      <c r="B429" s="7" t="s">
        <v>151</v>
      </c>
      <c r="C429" s="7" t="s">
        <v>149</v>
      </c>
      <c r="D429" s="7" t="s">
        <v>152</v>
      </c>
      <c r="H429" s="7">
        <v>7</v>
      </c>
      <c r="I429" s="7">
        <v>7</v>
      </c>
      <c r="J429" s="8">
        <f t="shared" si="6"/>
        <v>0.5</v>
      </c>
      <c r="K429" s="8" t="s">
        <v>30</v>
      </c>
      <c r="L429" s="8" t="s">
        <v>30</v>
      </c>
      <c r="M429" s="8"/>
      <c r="N429" s="8"/>
      <c r="O429" s="11"/>
      <c r="P429" s="7">
        <v>4</v>
      </c>
      <c r="Q429" s="7">
        <v>2</v>
      </c>
      <c r="R429" s="7">
        <v>1</v>
      </c>
      <c r="S429" s="7">
        <v>2</v>
      </c>
      <c r="T429" s="7" t="s">
        <v>149</v>
      </c>
    </row>
    <row r="430" spans="1:20" x14ac:dyDescent="0.25">
      <c r="A430" s="7" t="s">
        <v>284</v>
      </c>
      <c r="B430" s="7" t="s">
        <v>151</v>
      </c>
      <c r="C430" s="7" t="s">
        <v>155</v>
      </c>
      <c r="D430" s="7" t="s">
        <v>154</v>
      </c>
      <c r="H430" s="7">
        <v>7</v>
      </c>
      <c r="I430" s="7">
        <v>7</v>
      </c>
      <c r="J430" s="8">
        <f t="shared" si="6"/>
        <v>0.5</v>
      </c>
      <c r="K430" s="8" t="s">
        <v>30</v>
      </c>
      <c r="L430" s="8" t="s">
        <v>30</v>
      </c>
      <c r="M430" s="8"/>
      <c r="N430" s="8"/>
      <c r="O430" s="11"/>
      <c r="P430" s="7">
        <v>4</v>
      </c>
      <c r="Q430" s="7">
        <v>2</v>
      </c>
      <c r="R430" s="7">
        <v>1</v>
      </c>
      <c r="S430" s="7">
        <v>2</v>
      </c>
      <c r="T430" s="7" t="s">
        <v>155</v>
      </c>
    </row>
    <row r="431" spans="1:20" x14ac:dyDescent="0.25">
      <c r="A431" s="7" t="s">
        <v>284</v>
      </c>
      <c r="B431" s="7" t="s">
        <v>151</v>
      </c>
      <c r="C431" s="7" t="s">
        <v>285</v>
      </c>
      <c r="D431" s="7" t="s">
        <v>173</v>
      </c>
      <c r="H431" s="7">
        <v>7</v>
      </c>
      <c r="I431" s="7">
        <v>7</v>
      </c>
      <c r="J431" s="8">
        <f t="shared" si="6"/>
        <v>0.5</v>
      </c>
      <c r="K431" s="8" t="s">
        <v>30</v>
      </c>
      <c r="L431" s="8"/>
      <c r="M431" s="8"/>
      <c r="N431" s="8"/>
      <c r="O431" s="11"/>
      <c r="P431" s="7">
        <v>0</v>
      </c>
      <c r="Q431" s="7">
        <v>6</v>
      </c>
      <c r="T431" s="7" t="s">
        <v>582</v>
      </c>
    </row>
    <row r="432" spans="1:20" x14ac:dyDescent="0.25">
      <c r="A432" s="7" t="s">
        <v>284</v>
      </c>
      <c r="B432" s="7" t="s">
        <v>151</v>
      </c>
      <c r="C432" s="7" t="s">
        <v>257</v>
      </c>
      <c r="D432" s="7" t="s">
        <v>215</v>
      </c>
      <c r="H432" s="7">
        <v>6</v>
      </c>
      <c r="I432" s="7">
        <v>8</v>
      </c>
      <c r="J432" s="8">
        <f t="shared" si="6"/>
        <v>0.42857142857142855</v>
      </c>
      <c r="K432" s="8" t="s">
        <v>30</v>
      </c>
      <c r="L432" s="8"/>
      <c r="M432" s="8"/>
      <c r="N432" s="8"/>
      <c r="O432" s="11"/>
      <c r="P432" s="7">
        <v>3</v>
      </c>
      <c r="Q432" s="7">
        <v>3</v>
      </c>
      <c r="T432" s="7" t="s">
        <v>257</v>
      </c>
    </row>
    <row r="433" spans="1:20" x14ac:dyDescent="0.25">
      <c r="A433" s="7" t="s">
        <v>284</v>
      </c>
      <c r="B433" s="7" t="s">
        <v>151</v>
      </c>
      <c r="C433" s="7" t="s">
        <v>156</v>
      </c>
      <c r="D433" s="7" t="s">
        <v>157</v>
      </c>
      <c r="H433" s="7">
        <v>5</v>
      </c>
      <c r="I433" s="7">
        <v>9</v>
      </c>
      <c r="J433" s="8">
        <f t="shared" si="6"/>
        <v>0.35714285714285715</v>
      </c>
      <c r="K433" s="8" t="s">
        <v>30</v>
      </c>
      <c r="L433" s="8"/>
      <c r="M433" s="8"/>
      <c r="N433" s="8"/>
      <c r="O433" s="11"/>
      <c r="P433" s="7">
        <v>1</v>
      </c>
      <c r="Q433" s="7">
        <v>5</v>
      </c>
      <c r="T433" s="7" t="s">
        <v>156</v>
      </c>
    </row>
    <row r="434" spans="1:20" x14ac:dyDescent="0.25">
      <c r="A434" s="7" t="s">
        <v>284</v>
      </c>
      <c r="B434" s="7" t="s">
        <v>151</v>
      </c>
      <c r="C434" s="7" t="s">
        <v>170</v>
      </c>
      <c r="D434" s="7" t="s">
        <v>171</v>
      </c>
      <c r="H434" s="7">
        <v>5</v>
      </c>
      <c r="I434" s="7">
        <v>9</v>
      </c>
      <c r="J434" s="8">
        <f t="shared" si="6"/>
        <v>0.35714285714285715</v>
      </c>
      <c r="K434" s="8"/>
      <c r="L434" s="8"/>
      <c r="M434" s="8"/>
      <c r="N434" s="8"/>
      <c r="O434" s="11"/>
      <c r="T434" s="7" t="s">
        <v>170</v>
      </c>
    </row>
    <row r="435" spans="1:20" x14ac:dyDescent="0.25">
      <c r="A435" s="7" t="s">
        <v>284</v>
      </c>
      <c r="B435" s="7" t="s">
        <v>151</v>
      </c>
      <c r="C435" s="7" t="s">
        <v>274</v>
      </c>
      <c r="D435" s="7" t="s">
        <v>220</v>
      </c>
      <c r="H435" s="7">
        <v>5</v>
      </c>
      <c r="I435" s="7">
        <v>9</v>
      </c>
      <c r="J435" s="8">
        <f t="shared" si="6"/>
        <v>0.35714285714285715</v>
      </c>
      <c r="K435" s="8"/>
      <c r="L435" s="8"/>
      <c r="M435" s="8"/>
      <c r="N435" s="8"/>
      <c r="O435" s="11"/>
      <c r="T435" s="7" t="s">
        <v>244</v>
      </c>
    </row>
    <row r="436" spans="1:20" x14ac:dyDescent="0.25">
      <c r="A436" s="7" t="s">
        <v>284</v>
      </c>
      <c r="B436" s="7" t="s">
        <v>151</v>
      </c>
      <c r="C436" s="7" t="s">
        <v>242</v>
      </c>
      <c r="D436" s="7" t="s">
        <v>243</v>
      </c>
      <c r="H436" s="7">
        <v>5</v>
      </c>
      <c r="I436" s="7">
        <v>9</v>
      </c>
      <c r="J436" s="8">
        <f t="shared" si="6"/>
        <v>0.35714285714285715</v>
      </c>
      <c r="K436" s="8"/>
      <c r="L436" s="8"/>
      <c r="M436" s="8"/>
      <c r="N436" s="8"/>
      <c r="O436" s="11"/>
      <c r="T436" s="7" t="s">
        <v>241</v>
      </c>
    </row>
    <row r="437" spans="1:20" x14ac:dyDescent="0.25">
      <c r="A437" s="7" t="s">
        <v>284</v>
      </c>
      <c r="B437" s="7" t="s">
        <v>151</v>
      </c>
      <c r="C437" s="7" t="s">
        <v>280</v>
      </c>
      <c r="D437" s="7" t="s">
        <v>164</v>
      </c>
      <c r="H437" s="7">
        <v>4</v>
      </c>
      <c r="I437" s="7">
        <v>10</v>
      </c>
      <c r="J437" s="8">
        <f t="shared" si="6"/>
        <v>0.2857142857142857</v>
      </c>
      <c r="K437" s="8"/>
      <c r="L437" s="8"/>
      <c r="M437" s="8"/>
      <c r="N437" s="8"/>
      <c r="O437" s="11"/>
      <c r="T437" s="7" t="s">
        <v>279</v>
      </c>
    </row>
    <row r="438" spans="1:20" x14ac:dyDescent="0.25">
      <c r="A438" s="7" t="s">
        <v>284</v>
      </c>
      <c r="B438" s="7" t="s">
        <v>151</v>
      </c>
      <c r="C438" s="7" t="s">
        <v>230</v>
      </c>
      <c r="D438" s="7" t="s">
        <v>171</v>
      </c>
      <c r="H438" s="7">
        <v>4</v>
      </c>
      <c r="I438" s="7">
        <v>10</v>
      </c>
      <c r="J438" s="8">
        <f t="shared" si="6"/>
        <v>0.2857142857142857</v>
      </c>
      <c r="K438" s="8"/>
      <c r="L438" s="8"/>
      <c r="M438" s="8"/>
      <c r="N438" s="8"/>
      <c r="O438" s="11"/>
      <c r="T438" s="7" t="s">
        <v>584</v>
      </c>
    </row>
    <row r="439" spans="1:20" x14ac:dyDescent="0.25">
      <c r="A439" s="7" t="s">
        <v>284</v>
      </c>
      <c r="B439" s="7" t="s">
        <v>151</v>
      </c>
      <c r="C439" s="7" t="s">
        <v>217</v>
      </c>
      <c r="D439" s="7" t="s">
        <v>164</v>
      </c>
      <c r="H439" s="7">
        <v>3</v>
      </c>
      <c r="I439" s="7">
        <v>11</v>
      </c>
      <c r="J439" s="8">
        <f t="shared" si="6"/>
        <v>0.21428571428571427</v>
      </c>
      <c r="K439" s="8"/>
      <c r="L439" s="8"/>
      <c r="M439" s="8"/>
      <c r="N439" s="8"/>
      <c r="O439" s="11"/>
      <c r="T439" s="7" t="s">
        <v>217</v>
      </c>
    </row>
    <row r="440" spans="1:20" x14ac:dyDescent="0.25">
      <c r="A440" s="7" t="s">
        <v>284</v>
      </c>
      <c r="B440" s="7" t="s">
        <v>151</v>
      </c>
      <c r="C440" s="7" t="s">
        <v>286</v>
      </c>
      <c r="D440" s="7" t="s">
        <v>152</v>
      </c>
      <c r="H440" s="7">
        <v>3</v>
      </c>
      <c r="I440" s="7">
        <v>11</v>
      </c>
      <c r="J440" s="8">
        <f t="shared" si="6"/>
        <v>0.21428571428571427</v>
      </c>
      <c r="K440" s="8"/>
      <c r="L440" s="8"/>
      <c r="M440" s="8"/>
      <c r="N440" s="8"/>
      <c r="O440" s="11"/>
      <c r="T440" s="7" t="s">
        <v>286</v>
      </c>
    </row>
    <row r="441" spans="1:20" x14ac:dyDescent="0.25">
      <c r="A441" s="7" t="s">
        <v>284</v>
      </c>
      <c r="B441" s="7" t="s">
        <v>151</v>
      </c>
      <c r="C441" s="7" t="s">
        <v>174</v>
      </c>
      <c r="D441" s="7" t="s">
        <v>166</v>
      </c>
      <c r="H441" s="7">
        <v>2</v>
      </c>
      <c r="I441" s="7">
        <v>12</v>
      </c>
      <c r="J441" s="8">
        <f t="shared" si="6"/>
        <v>0.14285714285714285</v>
      </c>
      <c r="K441" s="8"/>
      <c r="L441" s="8"/>
      <c r="M441" s="8"/>
      <c r="N441" s="8"/>
      <c r="O441" s="11"/>
      <c r="T441" s="7" t="s">
        <v>174</v>
      </c>
    </row>
    <row r="442" spans="1:20" x14ac:dyDescent="0.25">
      <c r="A442" s="7" t="s">
        <v>287</v>
      </c>
      <c r="B442" s="7" t="s">
        <v>151</v>
      </c>
      <c r="C442" s="7" t="s">
        <v>188</v>
      </c>
      <c r="D442" s="7" t="s">
        <v>187</v>
      </c>
      <c r="H442" s="7">
        <v>14</v>
      </c>
      <c r="I442" s="7">
        <v>0</v>
      </c>
      <c r="J442" s="8">
        <f t="shared" si="6"/>
        <v>1</v>
      </c>
      <c r="K442" s="8" t="s">
        <v>30</v>
      </c>
      <c r="L442" s="8" t="s">
        <v>30</v>
      </c>
      <c r="M442" s="8" t="s">
        <v>30</v>
      </c>
      <c r="N442" s="8"/>
      <c r="O442" s="11"/>
      <c r="P442" s="7">
        <v>5</v>
      </c>
      <c r="Q442" s="7">
        <v>1</v>
      </c>
      <c r="R442" s="7">
        <v>2</v>
      </c>
      <c r="S442" s="7">
        <v>0</v>
      </c>
      <c r="T442" s="7" t="s">
        <v>188</v>
      </c>
    </row>
    <row r="443" spans="1:20" x14ac:dyDescent="0.25">
      <c r="A443" s="7" t="s">
        <v>287</v>
      </c>
      <c r="B443" s="7" t="s">
        <v>151</v>
      </c>
      <c r="C443" s="7" t="s">
        <v>169</v>
      </c>
      <c r="D443" s="7" t="s">
        <v>161</v>
      </c>
      <c r="H443" s="7">
        <v>10</v>
      </c>
      <c r="I443" s="7">
        <v>4</v>
      </c>
      <c r="J443" s="8">
        <f t="shared" si="6"/>
        <v>0.7142857142857143</v>
      </c>
      <c r="K443" s="8" t="s">
        <v>30</v>
      </c>
      <c r="L443" s="8" t="s">
        <v>30</v>
      </c>
      <c r="M443" s="8" t="s">
        <v>30</v>
      </c>
      <c r="N443" s="8" t="s">
        <v>30</v>
      </c>
      <c r="O443" s="11" t="s">
        <v>30</v>
      </c>
      <c r="P443" s="7">
        <v>6</v>
      </c>
      <c r="Q443" s="7">
        <v>0</v>
      </c>
      <c r="R443" s="7">
        <v>2</v>
      </c>
      <c r="S443" s="7">
        <v>0</v>
      </c>
      <c r="T443" s="7" t="s">
        <v>169</v>
      </c>
    </row>
    <row r="444" spans="1:20" x14ac:dyDescent="0.25">
      <c r="A444" s="7" t="s">
        <v>287</v>
      </c>
      <c r="B444" s="7" t="s">
        <v>151</v>
      </c>
      <c r="C444" s="7" t="s">
        <v>162</v>
      </c>
      <c r="D444" s="7" t="s">
        <v>152</v>
      </c>
      <c r="H444" s="7">
        <v>8</v>
      </c>
      <c r="I444" s="7">
        <v>6</v>
      </c>
      <c r="J444" s="8">
        <f t="shared" si="6"/>
        <v>0.5714285714285714</v>
      </c>
      <c r="K444" s="8" t="s">
        <v>30</v>
      </c>
      <c r="L444" s="8" t="s">
        <v>30</v>
      </c>
      <c r="M444" s="8" t="s">
        <v>30</v>
      </c>
      <c r="N444" s="8"/>
      <c r="O444" s="11"/>
      <c r="P444" s="7">
        <v>4</v>
      </c>
      <c r="Q444" s="7">
        <v>2</v>
      </c>
      <c r="R444" s="7">
        <v>2</v>
      </c>
      <c r="S444" s="7">
        <v>1</v>
      </c>
      <c r="T444" s="7" t="s">
        <v>162</v>
      </c>
    </row>
    <row r="445" spans="1:20" x14ac:dyDescent="0.25">
      <c r="A445" s="7" t="s">
        <v>287</v>
      </c>
      <c r="B445" s="7" t="s">
        <v>151</v>
      </c>
      <c r="C445" s="7" t="s">
        <v>265</v>
      </c>
      <c r="D445" s="7" t="s">
        <v>154</v>
      </c>
      <c r="H445" s="7">
        <v>6</v>
      </c>
      <c r="I445" s="7">
        <v>8</v>
      </c>
      <c r="J445" s="8">
        <f t="shared" si="6"/>
        <v>0.42857142857142855</v>
      </c>
      <c r="K445" s="8" t="s">
        <v>30</v>
      </c>
      <c r="L445" s="8" t="s">
        <v>30</v>
      </c>
      <c r="M445" s="8" t="s">
        <v>30</v>
      </c>
      <c r="N445" s="8" t="s">
        <v>30</v>
      </c>
      <c r="O445" s="11"/>
      <c r="P445" s="7">
        <v>4</v>
      </c>
      <c r="Q445" s="7">
        <v>2</v>
      </c>
      <c r="R445" s="7">
        <v>2</v>
      </c>
      <c r="S445" s="7">
        <v>0</v>
      </c>
      <c r="T445" s="7" t="s">
        <v>177</v>
      </c>
    </row>
    <row r="446" spans="1:20" x14ac:dyDescent="0.25">
      <c r="A446" s="7" t="s">
        <v>287</v>
      </c>
      <c r="B446" s="7" t="s">
        <v>151</v>
      </c>
      <c r="C446" s="7" t="s">
        <v>178</v>
      </c>
      <c r="D446" s="7" t="s">
        <v>157</v>
      </c>
      <c r="H446" s="7">
        <v>12</v>
      </c>
      <c r="I446" s="7">
        <v>2</v>
      </c>
      <c r="J446" s="8">
        <f t="shared" si="6"/>
        <v>0.8571428571428571</v>
      </c>
      <c r="K446" s="8" t="s">
        <v>30</v>
      </c>
      <c r="L446" s="8" t="s">
        <v>30</v>
      </c>
      <c r="M446" s="8"/>
      <c r="N446" s="8"/>
      <c r="O446" s="11"/>
      <c r="P446" s="7">
        <v>4</v>
      </c>
      <c r="Q446" s="7">
        <v>2</v>
      </c>
      <c r="R446" s="7">
        <v>1</v>
      </c>
      <c r="S446" s="7">
        <v>2</v>
      </c>
      <c r="T446" s="7" t="s">
        <v>178</v>
      </c>
    </row>
    <row r="447" spans="1:20" x14ac:dyDescent="0.25">
      <c r="A447" s="7" t="s">
        <v>287</v>
      </c>
      <c r="B447" s="7" t="s">
        <v>151</v>
      </c>
      <c r="C447" s="7" t="s">
        <v>176</v>
      </c>
      <c r="D447" s="7" t="s">
        <v>171</v>
      </c>
      <c r="H447" s="7">
        <v>12</v>
      </c>
      <c r="I447" s="7">
        <v>2</v>
      </c>
      <c r="J447" s="8">
        <f t="shared" si="6"/>
        <v>0.8571428571428571</v>
      </c>
      <c r="K447" s="8" t="s">
        <v>30</v>
      </c>
      <c r="L447" s="8"/>
      <c r="M447" s="8"/>
      <c r="N447" s="8"/>
      <c r="O447" s="11"/>
      <c r="P447" s="7">
        <v>4</v>
      </c>
      <c r="Q447" s="7">
        <v>2</v>
      </c>
      <c r="T447" s="7" t="s">
        <v>176</v>
      </c>
    </row>
    <row r="448" spans="1:20" x14ac:dyDescent="0.25">
      <c r="A448" s="7" t="s">
        <v>287</v>
      </c>
      <c r="B448" s="7" t="s">
        <v>151</v>
      </c>
      <c r="C448" s="7" t="s">
        <v>581</v>
      </c>
      <c r="D448" s="7" t="s">
        <v>154</v>
      </c>
      <c r="H448" s="7">
        <v>9</v>
      </c>
      <c r="I448" s="7">
        <v>5</v>
      </c>
      <c r="J448" s="8">
        <f t="shared" si="6"/>
        <v>0.6428571428571429</v>
      </c>
      <c r="K448" s="8" t="s">
        <v>30</v>
      </c>
      <c r="L448" s="8"/>
      <c r="M448" s="8"/>
      <c r="N448" s="8"/>
      <c r="O448" s="11"/>
      <c r="P448" s="7">
        <v>2</v>
      </c>
      <c r="Q448" s="7">
        <v>4</v>
      </c>
      <c r="T448" s="7" t="s">
        <v>581</v>
      </c>
    </row>
    <row r="449" spans="1:20" x14ac:dyDescent="0.25">
      <c r="A449" s="7" t="s">
        <v>287</v>
      </c>
      <c r="B449" s="7" t="s">
        <v>151</v>
      </c>
      <c r="C449" s="7" t="s">
        <v>278</v>
      </c>
      <c r="D449" s="7" t="s">
        <v>171</v>
      </c>
      <c r="H449" s="7">
        <v>8</v>
      </c>
      <c r="I449" s="7">
        <v>6</v>
      </c>
      <c r="J449" s="8">
        <f t="shared" si="6"/>
        <v>0.5714285714285714</v>
      </c>
      <c r="K449" s="8" t="s">
        <v>30</v>
      </c>
      <c r="L449" s="8" t="s">
        <v>30</v>
      </c>
      <c r="M449" s="8"/>
      <c r="N449" s="8"/>
      <c r="O449" s="11"/>
      <c r="P449" s="7">
        <v>4</v>
      </c>
      <c r="Q449" s="7">
        <v>2</v>
      </c>
      <c r="R449" s="7">
        <v>0</v>
      </c>
      <c r="S449" s="7">
        <v>2</v>
      </c>
      <c r="T449" s="7" t="s">
        <v>278</v>
      </c>
    </row>
    <row r="450" spans="1:20" x14ac:dyDescent="0.25">
      <c r="A450" s="7" t="s">
        <v>287</v>
      </c>
      <c r="B450" s="7" t="s">
        <v>151</v>
      </c>
      <c r="C450" s="7" t="s">
        <v>257</v>
      </c>
      <c r="D450" s="7" t="s">
        <v>215</v>
      </c>
      <c r="H450" s="7">
        <v>8</v>
      </c>
      <c r="I450" s="7">
        <v>6</v>
      </c>
      <c r="J450" s="8">
        <f t="shared" ref="J450:J513" si="7">H450/SUM(H450:I450)</f>
        <v>0.5714285714285714</v>
      </c>
      <c r="K450" s="8" t="s">
        <v>30</v>
      </c>
      <c r="L450" s="8"/>
      <c r="M450" s="8"/>
      <c r="N450" s="8"/>
      <c r="O450" s="11"/>
      <c r="P450" s="7">
        <v>1</v>
      </c>
      <c r="Q450" s="7">
        <v>5</v>
      </c>
      <c r="T450" s="7" t="s">
        <v>257</v>
      </c>
    </row>
    <row r="451" spans="1:20" x14ac:dyDescent="0.25">
      <c r="A451" s="7" t="s">
        <v>287</v>
      </c>
      <c r="B451" s="7" t="s">
        <v>151</v>
      </c>
      <c r="C451" s="7" t="s">
        <v>158</v>
      </c>
      <c r="D451" s="7" t="s">
        <v>159</v>
      </c>
      <c r="H451" s="7">
        <v>8</v>
      </c>
      <c r="I451" s="7">
        <v>6</v>
      </c>
      <c r="J451" s="8">
        <f t="shared" si="7"/>
        <v>0.5714285714285714</v>
      </c>
      <c r="K451" s="8" t="s">
        <v>30</v>
      </c>
      <c r="L451" s="8"/>
      <c r="M451" s="8"/>
      <c r="N451" s="8"/>
      <c r="O451" s="11"/>
      <c r="P451" s="7">
        <v>0</v>
      </c>
      <c r="Q451" s="7">
        <v>6</v>
      </c>
      <c r="T451" s="7" t="s">
        <v>158</v>
      </c>
    </row>
    <row r="452" spans="1:20" x14ac:dyDescent="0.25">
      <c r="A452" s="7" t="s">
        <v>287</v>
      </c>
      <c r="B452" s="7" t="s">
        <v>151</v>
      </c>
      <c r="C452" s="7" t="s">
        <v>286</v>
      </c>
      <c r="D452" s="7" t="s">
        <v>152</v>
      </c>
      <c r="H452" s="7">
        <v>7</v>
      </c>
      <c r="I452" s="7">
        <v>7</v>
      </c>
      <c r="J452" s="8">
        <f t="shared" si="7"/>
        <v>0.5</v>
      </c>
      <c r="K452" s="8" t="s">
        <v>30</v>
      </c>
      <c r="L452" s="8"/>
      <c r="M452" s="8"/>
      <c r="N452" s="8"/>
      <c r="O452" s="11"/>
      <c r="P452" s="7">
        <v>4</v>
      </c>
      <c r="Q452" s="7">
        <v>2</v>
      </c>
      <c r="T452" s="7" t="s">
        <v>286</v>
      </c>
    </row>
    <row r="453" spans="1:20" x14ac:dyDescent="0.25">
      <c r="A453" s="7" t="s">
        <v>287</v>
      </c>
      <c r="B453" s="7" t="s">
        <v>151</v>
      </c>
      <c r="C453" s="7" t="s">
        <v>289</v>
      </c>
      <c r="D453" s="7" t="s">
        <v>171</v>
      </c>
      <c r="H453" s="7">
        <v>7</v>
      </c>
      <c r="I453" s="7">
        <v>7</v>
      </c>
      <c r="J453" s="8">
        <f t="shared" si="7"/>
        <v>0.5</v>
      </c>
      <c r="K453" s="8" t="s">
        <v>30</v>
      </c>
      <c r="L453" s="8" t="s">
        <v>30</v>
      </c>
      <c r="M453" s="8"/>
      <c r="N453" s="8"/>
      <c r="O453" s="11"/>
      <c r="P453" s="7">
        <v>3</v>
      </c>
      <c r="Q453" s="7">
        <v>3</v>
      </c>
      <c r="R453" s="7">
        <v>0</v>
      </c>
      <c r="S453" s="7">
        <v>2</v>
      </c>
      <c r="T453" s="7" t="s">
        <v>288</v>
      </c>
    </row>
    <row r="454" spans="1:20" x14ac:dyDescent="0.25">
      <c r="A454" s="7" t="s">
        <v>287</v>
      </c>
      <c r="B454" s="7" t="s">
        <v>151</v>
      </c>
      <c r="C454" s="7" t="s">
        <v>156</v>
      </c>
      <c r="D454" s="7" t="s">
        <v>157</v>
      </c>
      <c r="H454" s="7">
        <v>7</v>
      </c>
      <c r="I454" s="7">
        <v>7</v>
      </c>
      <c r="J454" s="8">
        <f t="shared" si="7"/>
        <v>0.5</v>
      </c>
      <c r="K454" s="8" t="s">
        <v>30</v>
      </c>
      <c r="L454" s="8" t="s">
        <v>30</v>
      </c>
      <c r="M454" s="8"/>
      <c r="N454" s="8"/>
      <c r="O454" s="11"/>
      <c r="P454" s="7">
        <v>3</v>
      </c>
      <c r="Q454" s="7">
        <v>3</v>
      </c>
      <c r="R454" s="7">
        <v>0</v>
      </c>
      <c r="S454" s="7">
        <v>2</v>
      </c>
      <c r="T454" s="7" t="s">
        <v>156</v>
      </c>
    </row>
    <row r="455" spans="1:20" x14ac:dyDescent="0.25">
      <c r="A455" s="7" t="s">
        <v>287</v>
      </c>
      <c r="B455" s="7" t="s">
        <v>151</v>
      </c>
      <c r="C455" s="7" t="s">
        <v>230</v>
      </c>
      <c r="D455" s="7" t="s">
        <v>171</v>
      </c>
      <c r="H455" s="7">
        <v>7</v>
      </c>
      <c r="I455" s="7">
        <v>7</v>
      </c>
      <c r="J455" s="8">
        <f t="shared" si="7"/>
        <v>0.5</v>
      </c>
      <c r="K455" s="8" t="s">
        <v>30</v>
      </c>
      <c r="L455" s="8"/>
      <c r="M455" s="8"/>
      <c r="N455" s="8"/>
      <c r="O455" s="11"/>
      <c r="P455" s="7">
        <v>2</v>
      </c>
      <c r="Q455" s="7">
        <v>4</v>
      </c>
      <c r="T455" s="7" t="s">
        <v>584</v>
      </c>
    </row>
    <row r="456" spans="1:20" x14ac:dyDescent="0.25">
      <c r="A456" s="7" t="s">
        <v>287</v>
      </c>
      <c r="B456" s="7" t="s">
        <v>151</v>
      </c>
      <c r="C456" s="7" t="s">
        <v>155</v>
      </c>
      <c r="D456" s="7" t="s">
        <v>154</v>
      </c>
      <c r="H456" s="7">
        <v>7</v>
      </c>
      <c r="I456" s="7">
        <v>7</v>
      </c>
      <c r="J456" s="8">
        <f t="shared" si="7"/>
        <v>0.5</v>
      </c>
      <c r="K456" s="8" t="s">
        <v>30</v>
      </c>
      <c r="L456" s="8"/>
      <c r="M456" s="8"/>
      <c r="N456" s="8"/>
      <c r="O456" s="11"/>
      <c r="P456" s="7">
        <v>2</v>
      </c>
      <c r="Q456" s="7">
        <v>4</v>
      </c>
      <c r="T456" s="7" t="s">
        <v>155</v>
      </c>
    </row>
    <row r="457" spans="1:20" x14ac:dyDescent="0.25">
      <c r="A457" s="7" t="s">
        <v>287</v>
      </c>
      <c r="B457" s="7" t="s">
        <v>151</v>
      </c>
      <c r="C457" s="7" t="s">
        <v>274</v>
      </c>
      <c r="D457" s="7" t="s">
        <v>220</v>
      </c>
      <c r="H457" s="7">
        <v>7</v>
      </c>
      <c r="I457" s="7">
        <v>7</v>
      </c>
      <c r="J457" s="8">
        <f t="shared" si="7"/>
        <v>0.5</v>
      </c>
      <c r="K457" s="8" t="s">
        <v>30</v>
      </c>
      <c r="L457" s="8"/>
      <c r="M457" s="8"/>
      <c r="N457" s="8"/>
      <c r="O457" s="11"/>
      <c r="P457" s="7">
        <v>0</v>
      </c>
      <c r="Q457" s="7">
        <v>6</v>
      </c>
      <c r="T457" s="7" t="s">
        <v>244</v>
      </c>
    </row>
    <row r="458" spans="1:20" x14ac:dyDescent="0.25">
      <c r="A458" s="7" t="s">
        <v>287</v>
      </c>
      <c r="B458" s="7" t="s">
        <v>151</v>
      </c>
      <c r="C458" s="7" t="s">
        <v>242</v>
      </c>
      <c r="D458" s="7" t="s">
        <v>243</v>
      </c>
      <c r="H458" s="7">
        <v>6</v>
      </c>
      <c r="I458" s="7">
        <v>8</v>
      </c>
      <c r="J458" s="8">
        <f t="shared" si="7"/>
        <v>0.42857142857142855</v>
      </c>
      <c r="K458" s="8"/>
      <c r="L458" s="8"/>
      <c r="M458" s="8"/>
      <c r="N458" s="8"/>
      <c r="O458" s="11"/>
      <c r="T458" s="7" t="s">
        <v>241</v>
      </c>
    </row>
    <row r="459" spans="1:20" x14ac:dyDescent="0.25">
      <c r="A459" s="7" t="s">
        <v>287</v>
      </c>
      <c r="B459" s="7" t="s">
        <v>151</v>
      </c>
      <c r="C459" s="7" t="s">
        <v>201</v>
      </c>
      <c r="D459" s="7" t="s">
        <v>154</v>
      </c>
      <c r="H459" s="7">
        <v>6</v>
      </c>
      <c r="I459" s="7">
        <v>8</v>
      </c>
      <c r="J459" s="8">
        <f t="shared" si="7"/>
        <v>0.42857142857142855</v>
      </c>
      <c r="K459" s="8"/>
      <c r="L459" s="8"/>
      <c r="M459" s="8"/>
      <c r="N459" s="8"/>
      <c r="O459" s="11"/>
      <c r="T459" s="7" t="s">
        <v>201</v>
      </c>
    </row>
    <row r="460" spans="1:20" x14ac:dyDescent="0.25">
      <c r="A460" s="7" t="s">
        <v>287</v>
      </c>
      <c r="B460" s="7" t="s">
        <v>151</v>
      </c>
      <c r="C460" s="7" t="s">
        <v>291</v>
      </c>
      <c r="D460" s="7" t="s">
        <v>173</v>
      </c>
      <c r="H460" s="7">
        <v>4</v>
      </c>
      <c r="I460" s="7">
        <v>10</v>
      </c>
      <c r="J460" s="8">
        <f t="shared" si="7"/>
        <v>0.2857142857142857</v>
      </c>
      <c r="K460" s="8"/>
      <c r="L460" s="8"/>
      <c r="M460" s="8"/>
      <c r="N460" s="8"/>
      <c r="O460" s="11"/>
      <c r="T460" s="7" t="s">
        <v>290</v>
      </c>
    </row>
    <row r="461" spans="1:20" x14ac:dyDescent="0.25">
      <c r="A461" s="7" t="s">
        <v>287</v>
      </c>
      <c r="B461" s="7" t="s">
        <v>151</v>
      </c>
      <c r="C461" s="7" t="s">
        <v>149</v>
      </c>
      <c r="D461" s="7" t="s">
        <v>152</v>
      </c>
      <c r="H461" s="7">
        <v>4</v>
      </c>
      <c r="I461" s="7">
        <v>10</v>
      </c>
      <c r="J461" s="8">
        <f t="shared" si="7"/>
        <v>0.2857142857142857</v>
      </c>
      <c r="K461" s="8"/>
      <c r="L461" s="8"/>
      <c r="M461" s="8"/>
      <c r="N461" s="8"/>
      <c r="O461" s="11"/>
      <c r="T461" s="7" t="s">
        <v>149</v>
      </c>
    </row>
    <row r="462" spans="1:20" x14ac:dyDescent="0.25">
      <c r="A462" s="7" t="s">
        <v>287</v>
      </c>
      <c r="B462" s="7" t="s">
        <v>151</v>
      </c>
      <c r="C462" s="7" t="s">
        <v>293</v>
      </c>
      <c r="D462" s="7" t="s">
        <v>154</v>
      </c>
      <c r="H462" s="7">
        <v>4</v>
      </c>
      <c r="I462" s="7">
        <v>10</v>
      </c>
      <c r="J462" s="8">
        <f t="shared" si="7"/>
        <v>0.2857142857142857</v>
      </c>
      <c r="K462" s="8"/>
      <c r="L462" s="8"/>
      <c r="M462" s="8"/>
      <c r="N462" s="8"/>
      <c r="O462" s="11"/>
      <c r="T462" s="7" t="s">
        <v>292</v>
      </c>
    </row>
    <row r="463" spans="1:20" x14ac:dyDescent="0.25">
      <c r="A463" s="7" t="s">
        <v>287</v>
      </c>
      <c r="B463" s="7" t="s">
        <v>151</v>
      </c>
      <c r="C463" s="7" t="s">
        <v>280</v>
      </c>
      <c r="D463" s="7" t="s">
        <v>164</v>
      </c>
      <c r="H463" s="7">
        <v>3</v>
      </c>
      <c r="I463" s="7">
        <v>11</v>
      </c>
      <c r="J463" s="8">
        <f t="shared" si="7"/>
        <v>0.21428571428571427</v>
      </c>
      <c r="K463" s="8"/>
      <c r="L463" s="8"/>
      <c r="M463" s="8"/>
      <c r="N463" s="8"/>
      <c r="O463" s="11"/>
      <c r="T463" s="7" t="s">
        <v>279</v>
      </c>
    </row>
    <row r="464" spans="1:20" x14ac:dyDescent="0.25">
      <c r="A464" s="7" t="s">
        <v>287</v>
      </c>
      <c r="B464" s="7" t="s">
        <v>151</v>
      </c>
      <c r="C464" s="7" t="s">
        <v>179</v>
      </c>
      <c r="D464" s="7" t="s">
        <v>164</v>
      </c>
      <c r="H464" s="7">
        <v>2</v>
      </c>
      <c r="I464" s="7">
        <v>12</v>
      </c>
      <c r="J464" s="8">
        <f t="shared" si="7"/>
        <v>0.14285714285714285</v>
      </c>
      <c r="K464" s="8"/>
      <c r="L464" s="8"/>
      <c r="M464" s="8"/>
      <c r="N464" s="8"/>
      <c r="O464" s="11"/>
      <c r="T464" s="7" t="s">
        <v>179</v>
      </c>
    </row>
    <row r="465" spans="1:20" x14ac:dyDescent="0.25">
      <c r="A465" s="7" t="s">
        <v>287</v>
      </c>
      <c r="B465" s="7" t="s">
        <v>151</v>
      </c>
      <c r="C465" s="7" t="s">
        <v>174</v>
      </c>
      <c r="D465" s="7" t="s">
        <v>166</v>
      </c>
      <c r="H465" s="7">
        <v>2</v>
      </c>
      <c r="I465" s="7">
        <v>12</v>
      </c>
      <c r="J465" s="8">
        <f t="shared" si="7"/>
        <v>0.14285714285714285</v>
      </c>
      <c r="K465" s="8"/>
      <c r="L465" s="8"/>
      <c r="M465" s="8"/>
      <c r="N465" s="8"/>
      <c r="O465" s="11"/>
      <c r="T465" s="7" t="s">
        <v>174</v>
      </c>
    </row>
    <row r="466" spans="1:20" x14ac:dyDescent="0.25">
      <c r="A466" s="7" t="s">
        <v>294</v>
      </c>
      <c r="B466" s="7" t="s">
        <v>151</v>
      </c>
      <c r="C466" s="7" t="s">
        <v>188</v>
      </c>
      <c r="D466" s="7" t="s">
        <v>187</v>
      </c>
      <c r="H466" s="7">
        <v>11</v>
      </c>
      <c r="I466" s="7">
        <v>3</v>
      </c>
      <c r="J466" s="8">
        <f t="shared" si="7"/>
        <v>0.7857142857142857</v>
      </c>
      <c r="K466" s="8" t="s">
        <v>30</v>
      </c>
      <c r="L466" s="13" t="s">
        <v>30</v>
      </c>
      <c r="M466" s="8" t="s">
        <v>30</v>
      </c>
      <c r="N466" s="8"/>
      <c r="O466" s="11"/>
      <c r="P466" s="7">
        <v>5</v>
      </c>
      <c r="Q466" s="7">
        <v>1</v>
      </c>
      <c r="R466" s="7">
        <v>1</v>
      </c>
      <c r="S466" s="7">
        <v>1</v>
      </c>
      <c r="T466" s="7" t="s">
        <v>188</v>
      </c>
    </row>
    <row r="467" spans="1:20" x14ac:dyDescent="0.25">
      <c r="A467" s="7" t="s">
        <v>294</v>
      </c>
      <c r="B467" s="7" t="s">
        <v>151</v>
      </c>
      <c r="C467" s="7" t="s">
        <v>169</v>
      </c>
      <c r="D467" s="7" t="s">
        <v>161</v>
      </c>
      <c r="H467" s="7">
        <v>11</v>
      </c>
      <c r="I467" s="7">
        <v>3</v>
      </c>
      <c r="J467" s="8">
        <f t="shared" si="7"/>
        <v>0.7857142857142857</v>
      </c>
      <c r="K467" s="8" t="s">
        <v>30</v>
      </c>
      <c r="L467" s="13" t="s">
        <v>30</v>
      </c>
      <c r="M467" s="8" t="s">
        <v>30</v>
      </c>
      <c r="N467" s="8" t="s">
        <v>30</v>
      </c>
      <c r="O467" s="11" t="s">
        <v>30</v>
      </c>
      <c r="P467" s="7">
        <v>4</v>
      </c>
      <c r="Q467" s="7">
        <v>2</v>
      </c>
      <c r="R467" s="7">
        <v>2</v>
      </c>
      <c r="S467" s="7">
        <v>0</v>
      </c>
      <c r="T467" s="7" t="s">
        <v>169</v>
      </c>
    </row>
    <row r="468" spans="1:20" x14ac:dyDescent="0.25">
      <c r="A468" s="7" t="s">
        <v>294</v>
      </c>
      <c r="B468" s="7" t="s">
        <v>151</v>
      </c>
      <c r="C468" s="7" t="s">
        <v>295</v>
      </c>
      <c r="D468" s="7" t="s">
        <v>171</v>
      </c>
      <c r="H468" s="7">
        <v>8</v>
      </c>
      <c r="I468" s="7">
        <v>6</v>
      </c>
      <c r="J468" s="8">
        <f t="shared" si="7"/>
        <v>0.5714285714285714</v>
      </c>
      <c r="K468" s="8" t="s">
        <v>30</v>
      </c>
      <c r="L468" s="13" t="s">
        <v>30</v>
      </c>
      <c r="M468" s="8" t="s">
        <v>30</v>
      </c>
      <c r="N468" s="8" t="s">
        <v>30</v>
      </c>
      <c r="O468" s="11"/>
      <c r="P468" s="7">
        <v>5</v>
      </c>
      <c r="Q468" s="7">
        <v>1</v>
      </c>
      <c r="R468" s="7">
        <v>1</v>
      </c>
      <c r="S468" s="7">
        <v>1</v>
      </c>
      <c r="T468" s="7" t="s">
        <v>295</v>
      </c>
    </row>
    <row r="469" spans="1:20" x14ac:dyDescent="0.25">
      <c r="A469" s="7" t="s">
        <v>294</v>
      </c>
      <c r="B469" s="7" t="s">
        <v>151</v>
      </c>
      <c r="C469" s="7" t="s">
        <v>230</v>
      </c>
      <c r="D469" s="7" t="s">
        <v>171</v>
      </c>
      <c r="H469" s="7">
        <v>7</v>
      </c>
      <c r="I469" s="7">
        <v>7</v>
      </c>
      <c r="J469" s="8">
        <f t="shared" si="7"/>
        <v>0.5</v>
      </c>
      <c r="K469" s="8" t="s">
        <v>30</v>
      </c>
      <c r="L469" s="13" t="s">
        <v>30</v>
      </c>
      <c r="M469" s="8" t="s">
        <v>30</v>
      </c>
      <c r="N469" s="8"/>
      <c r="O469" s="11"/>
      <c r="P469" s="7">
        <v>4</v>
      </c>
      <c r="Q469" s="7">
        <v>2</v>
      </c>
      <c r="R469" s="7">
        <v>0</v>
      </c>
      <c r="S469" s="7">
        <v>2</v>
      </c>
      <c r="T469" s="7" t="s">
        <v>584</v>
      </c>
    </row>
    <row r="470" spans="1:20" x14ac:dyDescent="0.25">
      <c r="A470" s="7" t="s">
        <v>294</v>
      </c>
      <c r="B470" s="7" t="s">
        <v>151</v>
      </c>
      <c r="C470" s="7" t="s">
        <v>581</v>
      </c>
      <c r="D470" s="7" t="s">
        <v>154</v>
      </c>
      <c r="H470" s="7">
        <v>12</v>
      </c>
      <c r="I470" s="7">
        <v>2</v>
      </c>
      <c r="J470" s="8">
        <f t="shared" si="7"/>
        <v>0.8571428571428571</v>
      </c>
      <c r="K470" s="8" t="s">
        <v>30</v>
      </c>
      <c r="L470" s="8"/>
      <c r="M470" s="8"/>
      <c r="N470" s="8"/>
      <c r="O470" s="11"/>
      <c r="P470" s="7">
        <v>2</v>
      </c>
      <c r="Q470" s="7">
        <v>4</v>
      </c>
      <c r="T470" s="7" t="s">
        <v>581</v>
      </c>
    </row>
    <row r="471" spans="1:20" x14ac:dyDescent="0.25">
      <c r="A471" s="7" t="s">
        <v>294</v>
      </c>
      <c r="B471" s="7" t="s">
        <v>151</v>
      </c>
      <c r="C471" s="7" t="s">
        <v>278</v>
      </c>
      <c r="D471" s="7" t="s">
        <v>171</v>
      </c>
      <c r="H471" s="7">
        <v>10</v>
      </c>
      <c r="I471" s="7">
        <v>4</v>
      </c>
      <c r="J471" s="8">
        <f t="shared" si="7"/>
        <v>0.7142857142857143</v>
      </c>
      <c r="K471" s="8" t="s">
        <v>30</v>
      </c>
      <c r="L471" s="13" t="s">
        <v>30</v>
      </c>
      <c r="M471" s="8"/>
      <c r="N471" s="8"/>
      <c r="O471" s="11"/>
      <c r="P471" s="7">
        <v>4</v>
      </c>
      <c r="Q471" s="7">
        <v>2</v>
      </c>
      <c r="T471" s="7" t="s">
        <v>278</v>
      </c>
    </row>
    <row r="472" spans="1:20" x14ac:dyDescent="0.25">
      <c r="A472" s="7" t="s">
        <v>294</v>
      </c>
      <c r="B472" s="7" t="s">
        <v>151</v>
      </c>
      <c r="C472" s="7" t="s">
        <v>178</v>
      </c>
      <c r="D472" s="7" t="s">
        <v>157</v>
      </c>
      <c r="H472" s="7">
        <v>10</v>
      </c>
      <c r="I472" s="7">
        <v>4</v>
      </c>
      <c r="J472" s="8">
        <f t="shared" si="7"/>
        <v>0.7142857142857143</v>
      </c>
      <c r="K472" s="8" t="s">
        <v>30</v>
      </c>
      <c r="L472" s="13" t="s">
        <v>30</v>
      </c>
      <c r="M472" s="8"/>
      <c r="N472" s="8"/>
      <c r="O472" s="11"/>
      <c r="P472" s="7">
        <v>4</v>
      </c>
      <c r="Q472" s="7">
        <v>2</v>
      </c>
      <c r="T472" s="7" t="s">
        <v>178</v>
      </c>
    </row>
    <row r="473" spans="1:20" x14ac:dyDescent="0.25">
      <c r="A473" s="7" t="s">
        <v>294</v>
      </c>
      <c r="B473" s="7" t="s">
        <v>151</v>
      </c>
      <c r="C473" s="7" t="s">
        <v>265</v>
      </c>
      <c r="D473" s="7" t="s">
        <v>154</v>
      </c>
      <c r="H473" s="7">
        <v>9</v>
      </c>
      <c r="I473" s="7">
        <v>5</v>
      </c>
      <c r="J473" s="8">
        <f t="shared" si="7"/>
        <v>0.6428571428571429</v>
      </c>
      <c r="K473" s="8" t="s">
        <v>30</v>
      </c>
      <c r="L473" s="13" t="s">
        <v>30</v>
      </c>
      <c r="M473" s="8"/>
      <c r="N473" s="8"/>
      <c r="O473" s="11"/>
      <c r="P473" s="7">
        <v>4</v>
      </c>
      <c r="Q473" s="7">
        <v>2</v>
      </c>
      <c r="T473" s="7" t="s">
        <v>177</v>
      </c>
    </row>
    <row r="474" spans="1:20" x14ac:dyDescent="0.25">
      <c r="A474" s="7" t="s">
        <v>294</v>
      </c>
      <c r="B474" s="7" t="s">
        <v>151</v>
      </c>
      <c r="C474" s="7" t="s">
        <v>153</v>
      </c>
      <c r="D474" s="7" t="s">
        <v>154</v>
      </c>
      <c r="H474" s="7">
        <v>9</v>
      </c>
      <c r="I474" s="7">
        <v>5</v>
      </c>
      <c r="J474" s="8">
        <f t="shared" si="7"/>
        <v>0.6428571428571429</v>
      </c>
      <c r="K474" s="8" t="s">
        <v>30</v>
      </c>
      <c r="L474" s="13" t="s">
        <v>30</v>
      </c>
      <c r="M474" s="8"/>
      <c r="N474" s="8"/>
      <c r="O474" s="11"/>
      <c r="P474" s="7">
        <v>4</v>
      </c>
      <c r="Q474" s="7">
        <v>2</v>
      </c>
      <c r="T474" s="7" t="s">
        <v>153</v>
      </c>
    </row>
    <row r="475" spans="1:20" x14ac:dyDescent="0.25">
      <c r="A475" s="7" t="s">
        <v>294</v>
      </c>
      <c r="B475" s="7" t="s">
        <v>151</v>
      </c>
      <c r="C475" s="7" t="s">
        <v>257</v>
      </c>
      <c r="D475" s="7" t="s">
        <v>215</v>
      </c>
      <c r="H475" s="7">
        <v>8</v>
      </c>
      <c r="I475" s="7">
        <v>6</v>
      </c>
      <c r="J475" s="8">
        <f t="shared" si="7"/>
        <v>0.5714285714285714</v>
      </c>
      <c r="K475" s="8" t="s">
        <v>30</v>
      </c>
      <c r="L475" s="8"/>
      <c r="M475" s="8"/>
      <c r="N475" s="8"/>
      <c r="O475" s="11"/>
      <c r="P475" s="7">
        <v>2</v>
      </c>
      <c r="Q475" s="7">
        <v>4</v>
      </c>
      <c r="T475" s="7" t="s">
        <v>257</v>
      </c>
    </row>
    <row r="476" spans="1:20" x14ac:dyDescent="0.25">
      <c r="A476" s="7" t="s">
        <v>294</v>
      </c>
      <c r="B476" s="7" t="s">
        <v>151</v>
      </c>
      <c r="C476" s="7" t="s">
        <v>156</v>
      </c>
      <c r="D476" s="7" t="s">
        <v>157</v>
      </c>
      <c r="H476" s="7">
        <v>8</v>
      </c>
      <c r="I476" s="7">
        <v>6</v>
      </c>
      <c r="J476" s="8">
        <f t="shared" si="7"/>
        <v>0.5714285714285714</v>
      </c>
      <c r="K476" s="8" t="s">
        <v>30</v>
      </c>
      <c r="L476" s="8"/>
      <c r="M476" s="8"/>
      <c r="N476" s="8"/>
      <c r="O476" s="11"/>
      <c r="P476" s="7">
        <v>1</v>
      </c>
      <c r="Q476" s="7">
        <v>5</v>
      </c>
      <c r="T476" s="7" t="s">
        <v>156</v>
      </c>
    </row>
    <row r="477" spans="1:20" x14ac:dyDescent="0.25">
      <c r="A477" s="7" t="s">
        <v>294</v>
      </c>
      <c r="B477" s="7" t="s">
        <v>151</v>
      </c>
      <c r="C477" s="7" t="s">
        <v>162</v>
      </c>
      <c r="D477" s="7" t="s">
        <v>152</v>
      </c>
      <c r="H477" s="7">
        <v>7</v>
      </c>
      <c r="I477" s="7">
        <v>7</v>
      </c>
      <c r="J477" s="8">
        <f t="shared" si="7"/>
        <v>0.5</v>
      </c>
      <c r="K477" s="8" t="s">
        <v>30</v>
      </c>
      <c r="L477" s="8"/>
      <c r="M477" s="8"/>
      <c r="N477" s="8"/>
      <c r="O477" s="11"/>
      <c r="P477" s="7">
        <v>2</v>
      </c>
      <c r="Q477" s="7">
        <v>4</v>
      </c>
      <c r="T477" s="7" t="s">
        <v>162</v>
      </c>
    </row>
    <row r="478" spans="1:20" x14ac:dyDescent="0.25">
      <c r="A478" s="7" t="s">
        <v>294</v>
      </c>
      <c r="B478" s="7" t="s">
        <v>151</v>
      </c>
      <c r="C478" s="7" t="s">
        <v>149</v>
      </c>
      <c r="D478" s="7" t="s">
        <v>152</v>
      </c>
      <c r="H478" s="7">
        <v>7</v>
      </c>
      <c r="I478" s="7">
        <v>7</v>
      </c>
      <c r="J478" s="8">
        <f t="shared" si="7"/>
        <v>0.5</v>
      </c>
      <c r="K478" s="8" t="s">
        <v>30</v>
      </c>
      <c r="L478" s="8"/>
      <c r="M478" s="8"/>
      <c r="N478" s="8"/>
      <c r="O478" s="11"/>
      <c r="P478" s="7">
        <v>1</v>
      </c>
      <c r="Q478" s="7">
        <v>5</v>
      </c>
      <c r="T478" s="7" t="s">
        <v>149</v>
      </c>
    </row>
    <row r="479" spans="1:20" x14ac:dyDescent="0.25">
      <c r="A479" s="7" t="s">
        <v>294</v>
      </c>
      <c r="B479" s="7" t="s">
        <v>151</v>
      </c>
      <c r="C479" s="7" t="s">
        <v>158</v>
      </c>
      <c r="D479" s="7" t="s">
        <v>159</v>
      </c>
      <c r="H479" s="7">
        <v>6</v>
      </c>
      <c r="I479" s="7">
        <v>8</v>
      </c>
      <c r="J479" s="8">
        <f t="shared" si="7"/>
        <v>0.42857142857142855</v>
      </c>
      <c r="K479" s="8" t="s">
        <v>30</v>
      </c>
      <c r="L479" s="8"/>
      <c r="M479" s="8"/>
      <c r="N479" s="8"/>
      <c r="O479" s="11"/>
      <c r="P479" s="7">
        <v>3</v>
      </c>
      <c r="Q479" s="7">
        <v>3</v>
      </c>
      <c r="T479" s="7" t="s">
        <v>158</v>
      </c>
    </row>
    <row r="480" spans="1:20" x14ac:dyDescent="0.25">
      <c r="A480" s="7" t="s">
        <v>294</v>
      </c>
      <c r="B480" s="7" t="s">
        <v>151</v>
      </c>
      <c r="C480" s="7" t="s">
        <v>280</v>
      </c>
      <c r="D480" s="7" t="s">
        <v>164</v>
      </c>
      <c r="H480" s="7">
        <v>6</v>
      </c>
      <c r="I480" s="7">
        <v>8</v>
      </c>
      <c r="J480" s="8">
        <f t="shared" si="7"/>
        <v>0.42857142857142855</v>
      </c>
      <c r="K480" s="8" t="s">
        <v>30</v>
      </c>
      <c r="L480" s="8"/>
      <c r="M480" s="8"/>
      <c r="N480" s="8"/>
      <c r="O480" s="11"/>
      <c r="P480" s="7">
        <v>2</v>
      </c>
      <c r="Q480" s="7">
        <v>4</v>
      </c>
      <c r="T480" s="7" t="s">
        <v>279</v>
      </c>
    </row>
    <row r="481" spans="1:20" x14ac:dyDescent="0.25">
      <c r="A481" s="7" t="s">
        <v>294</v>
      </c>
      <c r="B481" s="7" t="s">
        <v>151</v>
      </c>
      <c r="C481" s="7" t="s">
        <v>242</v>
      </c>
      <c r="D481" s="7" t="s">
        <v>243</v>
      </c>
      <c r="H481" s="7">
        <v>6</v>
      </c>
      <c r="I481" s="7">
        <v>8</v>
      </c>
      <c r="J481" s="8">
        <f t="shared" si="7"/>
        <v>0.42857142857142855</v>
      </c>
      <c r="K481" s="8" t="s">
        <v>30</v>
      </c>
      <c r="L481" s="8"/>
      <c r="M481" s="8"/>
      <c r="N481" s="8"/>
      <c r="O481" s="11"/>
      <c r="P481" s="7">
        <v>1</v>
      </c>
      <c r="Q481" s="7">
        <v>5</v>
      </c>
      <c r="T481" s="7" t="s">
        <v>241</v>
      </c>
    </row>
    <row r="482" spans="1:20" x14ac:dyDescent="0.25">
      <c r="A482" s="7" t="s">
        <v>294</v>
      </c>
      <c r="B482" s="7" t="s">
        <v>151</v>
      </c>
      <c r="C482" s="7" t="s">
        <v>286</v>
      </c>
      <c r="D482" s="7" t="s">
        <v>152</v>
      </c>
      <c r="H482" s="7">
        <v>6</v>
      </c>
      <c r="I482" s="7">
        <v>8</v>
      </c>
      <c r="J482" s="8">
        <f t="shared" si="7"/>
        <v>0.42857142857142855</v>
      </c>
      <c r="K482" s="8"/>
      <c r="L482" s="8"/>
      <c r="M482" s="8"/>
      <c r="N482" s="8"/>
      <c r="O482" s="11"/>
      <c r="T482" s="7" t="s">
        <v>286</v>
      </c>
    </row>
    <row r="483" spans="1:20" x14ac:dyDescent="0.25">
      <c r="A483" s="7" t="s">
        <v>294</v>
      </c>
      <c r="B483" s="7" t="s">
        <v>151</v>
      </c>
      <c r="C483" s="7" t="s">
        <v>296</v>
      </c>
      <c r="D483" s="7" t="s">
        <v>220</v>
      </c>
      <c r="H483" s="7">
        <v>6</v>
      </c>
      <c r="I483" s="7">
        <v>8</v>
      </c>
      <c r="J483" s="8">
        <f t="shared" si="7"/>
        <v>0.42857142857142855</v>
      </c>
      <c r="K483" s="8"/>
      <c r="L483" s="8"/>
      <c r="M483" s="8"/>
      <c r="N483" s="8"/>
      <c r="O483" s="11"/>
      <c r="T483" s="7" t="s">
        <v>296</v>
      </c>
    </row>
    <row r="484" spans="1:20" x14ac:dyDescent="0.25">
      <c r="A484" s="7" t="s">
        <v>294</v>
      </c>
      <c r="B484" s="7" t="s">
        <v>151</v>
      </c>
      <c r="C484" s="7" t="s">
        <v>174</v>
      </c>
      <c r="D484" s="7" t="s">
        <v>166</v>
      </c>
      <c r="H484" s="7">
        <v>6</v>
      </c>
      <c r="I484" s="7">
        <v>8</v>
      </c>
      <c r="J484" s="8">
        <f t="shared" si="7"/>
        <v>0.42857142857142855</v>
      </c>
      <c r="K484" s="8"/>
      <c r="L484" s="8"/>
      <c r="M484" s="8"/>
      <c r="N484" s="8"/>
      <c r="O484" s="11"/>
      <c r="T484" s="7" t="s">
        <v>174</v>
      </c>
    </row>
    <row r="485" spans="1:20" x14ac:dyDescent="0.25">
      <c r="A485" s="7" t="s">
        <v>294</v>
      </c>
      <c r="B485" s="7" t="s">
        <v>151</v>
      </c>
      <c r="C485" s="7" t="s">
        <v>255</v>
      </c>
      <c r="D485" s="7" t="s">
        <v>171</v>
      </c>
      <c r="H485" s="7">
        <v>4</v>
      </c>
      <c r="I485" s="7">
        <v>10</v>
      </c>
      <c r="J485" s="8">
        <f t="shared" si="7"/>
        <v>0.2857142857142857</v>
      </c>
      <c r="K485" s="8"/>
      <c r="L485" s="8"/>
      <c r="M485" s="8"/>
      <c r="N485" s="8"/>
      <c r="O485" s="11"/>
      <c r="T485" s="7" t="s">
        <v>255</v>
      </c>
    </row>
    <row r="486" spans="1:20" x14ac:dyDescent="0.25">
      <c r="A486" s="7" t="s">
        <v>294</v>
      </c>
      <c r="B486" s="7" t="s">
        <v>151</v>
      </c>
      <c r="C486" s="7" t="s">
        <v>201</v>
      </c>
      <c r="D486" s="7" t="s">
        <v>154</v>
      </c>
      <c r="H486" s="7">
        <v>4</v>
      </c>
      <c r="I486" s="7">
        <v>10</v>
      </c>
      <c r="J486" s="8">
        <f t="shared" si="7"/>
        <v>0.2857142857142857</v>
      </c>
      <c r="K486" s="8"/>
      <c r="L486" s="8"/>
      <c r="M486" s="8"/>
      <c r="N486" s="8"/>
      <c r="O486" s="11"/>
      <c r="T486" s="7" t="s">
        <v>201</v>
      </c>
    </row>
    <row r="487" spans="1:20" x14ac:dyDescent="0.25">
      <c r="A487" s="7" t="s">
        <v>294</v>
      </c>
      <c r="B487" s="7" t="s">
        <v>151</v>
      </c>
      <c r="C487" s="7" t="s">
        <v>181</v>
      </c>
      <c r="D487" s="7" t="s">
        <v>173</v>
      </c>
      <c r="H487" s="7">
        <v>3</v>
      </c>
      <c r="I487" s="7">
        <v>11</v>
      </c>
      <c r="J487" s="8">
        <f t="shared" si="7"/>
        <v>0.21428571428571427</v>
      </c>
      <c r="K487" s="8"/>
      <c r="L487" s="8"/>
      <c r="M487" s="8"/>
      <c r="N487" s="8"/>
      <c r="O487" s="11"/>
      <c r="T487" s="7" t="s">
        <v>181</v>
      </c>
    </row>
    <row r="488" spans="1:20" x14ac:dyDescent="0.25">
      <c r="A488" s="7" t="s">
        <v>294</v>
      </c>
      <c r="B488" s="7" t="s">
        <v>151</v>
      </c>
      <c r="C488" s="7" t="s">
        <v>179</v>
      </c>
      <c r="D488" s="7" t="s">
        <v>164</v>
      </c>
      <c r="H488" s="7">
        <v>2</v>
      </c>
      <c r="I488" s="7">
        <v>12</v>
      </c>
      <c r="J488" s="8">
        <f t="shared" si="7"/>
        <v>0.14285714285714285</v>
      </c>
      <c r="K488" s="8"/>
      <c r="L488" s="8"/>
      <c r="M488" s="8"/>
      <c r="N488" s="8"/>
      <c r="O488" s="11"/>
      <c r="T488" s="7" t="s">
        <v>179</v>
      </c>
    </row>
    <row r="489" spans="1:20" x14ac:dyDescent="0.25">
      <c r="A489" s="7" t="s">
        <v>294</v>
      </c>
      <c r="B489" s="7" t="s">
        <v>151</v>
      </c>
      <c r="C489" s="7" t="s">
        <v>297</v>
      </c>
      <c r="D489" s="7" t="s">
        <v>243</v>
      </c>
      <c r="H489" s="7">
        <v>2</v>
      </c>
      <c r="I489" s="7">
        <v>12</v>
      </c>
      <c r="J489" s="8">
        <f t="shared" si="7"/>
        <v>0.14285714285714285</v>
      </c>
      <c r="K489" s="8"/>
      <c r="L489" s="8"/>
      <c r="M489" s="8"/>
      <c r="N489" s="8"/>
      <c r="O489" s="11"/>
      <c r="T489" s="7" t="s">
        <v>297</v>
      </c>
    </row>
    <row r="490" spans="1:20" x14ac:dyDescent="0.25">
      <c r="A490" s="7" t="s">
        <v>298</v>
      </c>
      <c r="B490" s="7" t="s">
        <v>151</v>
      </c>
      <c r="C490" s="7" t="s">
        <v>188</v>
      </c>
      <c r="D490" s="7" t="s">
        <v>187</v>
      </c>
      <c r="H490" s="7">
        <v>12</v>
      </c>
      <c r="I490" s="7">
        <v>2</v>
      </c>
      <c r="J490" s="8">
        <f t="shared" si="7"/>
        <v>0.8571428571428571</v>
      </c>
      <c r="K490" s="8" t="s">
        <v>30</v>
      </c>
      <c r="L490" s="13" t="s">
        <v>30</v>
      </c>
      <c r="M490" s="8" t="s">
        <v>30</v>
      </c>
      <c r="N490" s="8"/>
      <c r="O490" s="11"/>
      <c r="P490" s="7">
        <v>5</v>
      </c>
      <c r="Q490" s="7">
        <v>1</v>
      </c>
      <c r="R490" s="7">
        <v>0</v>
      </c>
      <c r="S490" s="7">
        <v>2</v>
      </c>
      <c r="T490" s="7" t="s">
        <v>188</v>
      </c>
    </row>
    <row r="491" spans="1:20" x14ac:dyDescent="0.25">
      <c r="A491" s="7" t="s">
        <v>298</v>
      </c>
      <c r="B491" s="7" t="s">
        <v>151</v>
      </c>
      <c r="C491" s="7" t="s">
        <v>278</v>
      </c>
      <c r="D491" s="7" t="s">
        <v>171</v>
      </c>
      <c r="H491" s="7">
        <v>11</v>
      </c>
      <c r="I491" s="7">
        <v>3</v>
      </c>
      <c r="J491" s="8">
        <f t="shared" si="7"/>
        <v>0.7857142857142857</v>
      </c>
      <c r="K491" s="8" t="s">
        <v>30</v>
      </c>
      <c r="L491" s="13" t="s">
        <v>30</v>
      </c>
      <c r="M491" s="8" t="s">
        <v>30</v>
      </c>
      <c r="N491" s="8" t="s">
        <v>30</v>
      </c>
      <c r="O491" s="11"/>
      <c r="P491" s="7">
        <v>6</v>
      </c>
      <c r="Q491" s="7">
        <v>0</v>
      </c>
      <c r="R491" s="7">
        <v>1</v>
      </c>
      <c r="S491" s="7">
        <v>1</v>
      </c>
      <c r="T491" s="7" t="s">
        <v>278</v>
      </c>
    </row>
    <row r="492" spans="1:20" x14ac:dyDescent="0.25">
      <c r="A492" s="7" t="s">
        <v>298</v>
      </c>
      <c r="B492" s="7" t="s">
        <v>151</v>
      </c>
      <c r="C492" s="7" t="s">
        <v>581</v>
      </c>
      <c r="D492" s="7" t="s">
        <v>154</v>
      </c>
      <c r="H492" s="7">
        <v>11</v>
      </c>
      <c r="I492" s="7">
        <v>3</v>
      </c>
      <c r="J492" s="8">
        <f t="shared" si="7"/>
        <v>0.7857142857142857</v>
      </c>
      <c r="K492" s="8" t="s">
        <v>30</v>
      </c>
      <c r="L492" s="13" t="s">
        <v>30</v>
      </c>
      <c r="M492" s="8" t="s">
        <v>30</v>
      </c>
      <c r="N492" s="8" t="s">
        <v>30</v>
      </c>
      <c r="O492" s="11" t="s">
        <v>30</v>
      </c>
      <c r="P492" s="7">
        <v>5</v>
      </c>
      <c r="Q492" s="7">
        <v>1</v>
      </c>
      <c r="R492" s="7">
        <v>2</v>
      </c>
      <c r="S492" s="7">
        <v>0</v>
      </c>
      <c r="T492" s="7" t="s">
        <v>581</v>
      </c>
    </row>
    <row r="493" spans="1:20" x14ac:dyDescent="0.25">
      <c r="A493" s="7" t="s">
        <v>298</v>
      </c>
      <c r="B493" s="7" t="s">
        <v>151</v>
      </c>
      <c r="C493" s="7" t="s">
        <v>230</v>
      </c>
      <c r="D493" s="7" t="s">
        <v>171</v>
      </c>
      <c r="H493" s="7">
        <v>6</v>
      </c>
      <c r="I493" s="7">
        <v>8</v>
      </c>
      <c r="J493" s="8">
        <f t="shared" si="7"/>
        <v>0.42857142857142855</v>
      </c>
      <c r="K493" s="8" t="s">
        <v>30</v>
      </c>
      <c r="L493" s="13" t="s">
        <v>30</v>
      </c>
      <c r="M493" s="8" t="s">
        <v>30</v>
      </c>
      <c r="N493" s="8"/>
      <c r="O493" s="11"/>
      <c r="P493" s="7">
        <v>4</v>
      </c>
      <c r="Q493" s="7">
        <v>2</v>
      </c>
      <c r="R493" s="7">
        <v>1</v>
      </c>
      <c r="S493" s="7">
        <v>1</v>
      </c>
      <c r="T493" s="7" t="s">
        <v>584</v>
      </c>
    </row>
    <row r="494" spans="1:20" x14ac:dyDescent="0.25">
      <c r="A494" s="7" t="s">
        <v>298</v>
      </c>
      <c r="B494" s="7" t="s">
        <v>151</v>
      </c>
      <c r="C494" s="7" t="s">
        <v>162</v>
      </c>
      <c r="D494" s="7" t="s">
        <v>152</v>
      </c>
      <c r="H494" s="7">
        <v>11</v>
      </c>
      <c r="I494" s="7">
        <v>3</v>
      </c>
      <c r="J494" s="8">
        <f t="shared" si="7"/>
        <v>0.7857142857142857</v>
      </c>
      <c r="K494" s="8" t="s">
        <v>30</v>
      </c>
      <c r="L494" s="8"/>
      <c r="M494" s="8"/>
      <c r="N494" s="8"/>
      <c r="O494" s="11"/>
      <c r="P494" s="7">
        <v>3</v>
      </c>
      <c r="Q494" s="7">
        <v>3</v>
      </c>
      <c r="T494" s="7" t="s">
        <v>162</v>
      </c>
    </row>
    <row r="495" spans="1:20" x14ac:dyDescent="0.25">
      <c r="A495" s="7" t="s">
        <v>298</v>
      </c>
      <c r="B495" s="7" t="s">
        <v>151</v>
      </c>
      <c r="C495" s="7" t="s">
        <v>156</v>
      </c>
      <c r="D495" s="7" t="s">
        <v>157</v>
      </c>
      <c r="H495" s="7">
        <v>10</v>
      </c>
      <c r="I495" s="7">
        <v>4</v>
      </c>
      <c r="J495" s="8">
        <f t="shared" si="7"/>
        <v>0.7142857142857143</v>
      </c>
      <c r="K495" s="8" t="s">
        <v>30</v>
      </c>
      <c r="L495" s="8"/>
      <c r="M495" s="8"/>
      <c r="N495" s="8"/>
      <c r="O495" s="11"/>
      <c r="P495" s="7">
        <v>2</v>
      </c>
      <c r="Q495" s="7">
        <v>4</v>
      </c>
      <c r="T495" s="7" t="s">
        <v>156</v>
      </c>
    </row>
    <row r="496" spans="1:20" x14ac:dyDescent="0.25">
      <c r="A496" s="7" t="s">
        <v>298</v>
      </c>
      <c r="B496" s="7" t="s">
        <v>151</v>
      </c>
      <c r="C496" s="7" t="s">
        <v>242</v>
      </c>
      <c r="D496" s="7" t="s">
        <v>243</v>
      </c>
      <c r="H496" s="7">
        <v>9</v>
      </c>
      <c r="I496" s="7">
        <v>5</v>
      </c>
      <c r="J496" s="8">
        <f t="shared" si="7"/>
        <v>0.6428571428571429</v>
      </c>
      <c r="K496" s="8" t="s">
        <v>30</v>
      </c>
      <c r="L496" s="8"/>
      <c r="M496" s="8"/>
      <c r="N496" s="8"/>
      <c r="O496" s="11"/>
      <c r="P496" s="7">
        <v>3</v>
      </c>
      <c r="Q496" s="7">
        <v>3</v>
      </c>
      <c r="T496" s="7" t="s">
        <v>241</v>
      </c>
    </row>
    <row r="497" spans="1:20" x14ac:dyDescent="0.25">
      <c r="A497" s="7" t="s">
        <v>298</v>
      </c>
      <c r="B497" s="7" t="s">
        <v>151</v>
      </c>
      <c r="C497" s="7" t="s">
        <v>265</v>
      </c>
      <c r="D497" s="7" t="s">
        <v>154</v>
      </c>
      <c r="H497" s="7">
        <v>9</v>
      </c>
      <c r="I497" s="7">
        <v>5</v>
      </c>
      <c r="J497" s="8">
        <f t="shared" si="7"/>
        <v>0.6428571428571429</v>
      </c>
      <c r="K497" s="8" t="s">
        <v>30</v>
      </c>
      <c r="L497" s="8"/>
      <c r="M497" s="8"/>
      <c r="N497" s="8"/>
      <c r="O497" s="11"/>
      <c r="P497" s="7">
        <v>2</v>
      </c>
      <c r="Q497" s="7">
        <v>4</v>
      </c>
      <c r="T497" s="7" t="s">
        <v>177</v>
      </c>
    </row>
    <row r="498" spans="1:20" x14ac:dyDescent="0.25">
      <c r="A498" s="7" t="s">
        <v>298</v>
      </c>
      <c r="B498" s="7" t="s">
        <v>151</v>
      </c>
      <c r="C498" s="7" t="s">
        <v>178</v>
      </c>
      <c r="D498" s="7" t="s">
        <v>157</v>
      </c>
      <c r="H498" s="7">
        <v>8</v>
      </c>
      <c r="I498" s="7">
        <v>6</v>
      </c>
      <c r="J498" s="8">
        <f t="shared" si="7"/>
        <v>0.5714285714285714</v>
      </c>
      <c r="K498" s="8" t="s">
        <v>30</v>
      </c>
      <c r="L498" s="13" t="s">
        <v>30</v>
      </c>
      <c r="M498" s="8"/>
      <c r="N498" s="8"/>
      <c r="O498" s="11"/>
      <c r="P498" s="7">
        <v>4</v>
      </c>
      <c r="Q498" s="7">
        <v>2</v>
      </c>
      <c r="T498" s="7" t="s">
        <v>178</v>
      </c>
    </row>
    <row r="499" spans="1:20" x14ac:dyDescent="0.25">
      <c r="A499" s="7" t="s">
        <v>298</v>
      </c>
      <c r="B499" s="7" t="s">
        <v>151</v>
      </c>
      <c r="C499" s="7" t="s">
        <v>295</v>
      </c>
      <c r="D499" s="7" t="s">
        <v>171</v>
      </c>
      <c r="H499" s="7">
        <v>8</v>
      </c>
      <c r="I499" s="7">
        <v>6</v>
      </c>
      <c r="J499" s="8">
        <f t="shared" si="7"/>
        <v>0.5714285714285714</v>
      </c>
      <c r="K499" s="8" t="s">
        <v>30</v>
      </c>
      <c r="L499" s="13" t="s">
        <v>30</v>
      </c>
      <c r="M499" s="8"/>
      <c r="N499" s="8"/>
      <c r="O499" s="11"/>
      <c r="P499" s="7">
        <v>3</v>
      </c>
      <c r="Q499" s="7">
        <v>3</v>
      </c>
      <c r="T499" s="7" t="s">
        <v>295</v>
      </c>
    </row>
    <row r="500" spans="1:20" x14ac:dyDescent="0.25">
      <c r="A500" s="7" t="s">
        <v>298</v>
      </c>
      <c r="B500" s="7" t="s">
        <v>151</v>
      </c>
      <c r="C500" s="7" t="s">
        <v>169</v>
      </c>
      <c r="D500" s="7" t="s">
        <v>161</v>
      </c>
      <c r="H500" s="7">
        <v>7</v>
      </c>
      <c r="I500" s="7">
        <v>7</v>
      </c>
      <c r="J500" s="8">
        <f t="shared" si="7"/>
        <v>0.5</v>
      </c>
      <c r="K500" s="8" t="s">
        <v>30</v>
      </c>
      <c r="L500" s="13" t="s">
        <v>30</v>
      </c>
      <c r="M500" s="8"/>
      <c r="N500" s="8"/>
      <c r="O500" s="11"/>
      <c r="P500" s="7">
        <v>4</v>
      </c>
      <c r="Q500" s="7">
        <v>2</v>
      </c>
      <c r="T500" s="7" t="s">
        <v>169</v>
      </c>
    </row>
    <row r="501" spans="1:20" x14ac:dyDescent="0.25">
      <c r="A501" s="7" t="s">
        <v>298</v>
      </c>
      <c r="B501" s="7" t="s">
        <v>151</v>
      </c>
      <c r="C501" s="7" t="s">
        <v>149</v>
      </c>
      <c r="D501" s="7" t="s">
        <v>152</v>
      </c>
      <c r="H501" s="7">
        <v>7</v>
      </c>
      <c r="I501" s="7">
        <v>7</v>
      </c>
      <c r="J501" s="8">
        <f t="shared" si="7"/>
        <v>0.5</v>
      </c>
      <c r="K501" s="8" t="s">
        <v>30</v>
      </c>
      <c r="L501" s="13" t="s">
        <v>30</v>
      </c>
      <c r="M501" s="8"/>
      <c r="N501" s="8"/>
      <c r="O501" s="11"/>
      <c r="P501" s="7">
        <v>3</v>
      </c>
      <c r="Q501" s="7">
        <v>3</v>
      </c>
      <c r="T501" s="7" t="s">
        <v>149</v>
      </c>
    </row>
    <row r="502" spans="1:20" x14ac:dyDescent="0.25">
      <c r="A502" s="7" t="s">
        <v>298</v>
      </c>
      <c r="B502" s="7" t="s">
        <v>151</v>
      </c>
      <c r="C502" s="7" t="s">
        <v>257</v>
      </c>
      <c r="D502" s="7" t="s">
        <v>215</v>
      </c>
      <c r="H502" s="7">
        <v>7</v>
      </c>
      <c r="I502" s="7">
        <v>7</v>
      </c>
      <c r="J502" s="8">
        <f t="shared" si="7"/>
        <v>0.5</v>
      </c>
      <c r="K502" s="8" t="s">
        <v>30</v>
      </c>
      <c r="L502" s="8"/>
      <c r="M502" s="8"/>
      <c r="N502" s="8"/>
      <c r="O502" s="11"/>
      <c r="P502" s="7">
        <v>2</v>
      </c>
      <c r="Q502" s="7">
        <v>4</v>
      </c>
      <c r="T502" s="7" t="s">
        <v>257</v>
      </c>
    </row>
    <row r="503" spans="1:20" x14ac:dyDescent="0.25">
      <c r="A503" s="7" t="s">
        <v>298</v>
      </c>
      <c r="B503" s="7" t="s">
        <v>151</v>
      </c>
      <c r="C503" s="7" t="s">
        <v>201</v>
      </c>
      <c r="D503" s="7" t="s">
        <v>154</v>
      </c>
      <c r="H503" s="7">
        <v>7</v>
      </c>
      <c r="I503" s="7">
        <v>7</v>
      </c>
      <c r="J503" s="8">
        <f t="shared" si="7"/>
        <v>0.5</v>
      </c>
      <c r="K503" s="8" t="s">
        <v>30</v>
      </c>
      <c r="L503" s="8"/>
      <c r="M503" s="8"/>
      <c r="N503" s="8"/>
      <c r="O503" s="11"/>
      <c r="P503" s="7">
        <v>1</v>
      </c>
      <c r="Q503" s="7">
        <v>5</v>
      </c>
      <c r="T503" s="7" t="s">
        <v>201</v>
      </c>
    </row>
    <row r="504" spans="1:20" x14ac:dyDescent="0.25">
      <c r="A504" s="7" t="s">
        <v>298</v>
      </c>
      <c r="B504" s="7" t="s">
        <v>151</v>
      </c>
      <c r="C504" s="7" t="s">
        <v>179</v>
      </c>
      <c r="D504" s="7" t="s">
        <v>164</v>
      </c>
      <c r="H504" s="7">
        <v>6</v>
      </c>
      <c r="I504" s="7">
        <v>8</v>
      </c>
      <c r="J504" s="8">
        <f t="shared" si="7"/>
        <v>0.42857142857142855</v>
      </c>
      <c r="K504" s="8" t="s">
        <v>30</v>
      </c>
      <c r="L504" s="8"/>
      <c r="M504" s="8"/>
      <c r="N504" s="8"/>
      <c r="O504" s="11"/>
      <c r="P504" s="7">
        <v>1</v>
      </c>
      <c r="Q504" s="7">
        <v>5</v>
      </c>
      <c r="T504" s="7" t="s">
        <v>179</v>
      </c>
    </row>
    <row r="505" spans="1:20" x14ac:dyDescent="0.25">
      <c r="A505" s="7" t="s">
        <v>298</v>
      </c>
      <c r="B505" s="7" t="s">
        <v>151</v>
      </c>
      <c r="C505" s="7" t="s">
        <v>176</v>
      </c>
      <c r="D505" s="7" t="s">
        <v>171</v>
      </c>
      <c r="H505" s="7">
        <v>6</v>
      </c>
      <c r="I505" s="7">
        <v>8</v>
      </c>
      <c r="J505" s="8">
        <f t="shared" si="7"/>
        <v>0.42857142857142855</v>
      </c>
      <c r="K505" s="8" t="s">
        <v>30</v>
      </c>
      <c r="L505" s="8"/>
      <c r="M505" s="8"/>
      <c r="N505" s="8"/>
      <c r="O505" s="11"/>
      <c r="P505" s="7">
        <v>0</v>
      </c>
      <c r="Q505" s="7">
        <v>6</v>
      </c>
      <c r="T505" s="7" t="s">
        <v>176</v>
      </c>
    </row>
    <row r="506" spans="1:20" x14ac:dyDescent="0.25">
      <c r="A506" s="7" t="s">
        <v>298</v>
      </c>
      <c r="B506" s="7" t="s">
        <v>151</v>
      </c>
      <c r="C506" s="7" t="s">
        <v>280</v>
      </c>
      <c r="D506" s="7" t="s">
        <v>164</v>
      </c>
      <c r="H506" s="7">
        <v>6</v>
      </c>
      <c r="I506" s="7">
        <v>8</v>
      </c>
      <c r="J506" s="8">
        <f t="shared" si="7"/>
        <v>0.42857142857142855</v>
      </c>
      <c r="K506" s="8"/>
      <c r="L506" s="8"/>
      <c r="M506" s="8"/>
      <c r="N506" s="8"/>
      <c r="O506" s="11"/>
      <c r="T506" s="7" t="s">
        <v>279</v>
      </c>
    </row>
    <row r="507" spans="1:20" x14ac:dyDescent="0.25">
      <c r="A507" s="7" t="s">
        <v>298</v>
      </c>
      <c r="B507" s="7" t="s">
        <v>151</v>
      </c>
      <c r="C507" s="7" t="s">
        <v>155</v>
      </c>
      <c r="D507" s="7" t="s">
        <v>154</v>
      </c>
      <c r="H507" s="7">
        <v>6</v>
      </c>
      <c r="I507" s="7">
        <v>8</v>
      </c>
      <c r="J507" s="8">
        <f t="shared" si="7"/>
        <v>0.42857142857142855</v>
      </c>
      <c r="K507" s="8"/>
      <c r="L507" s="8"/>
      <c r="M507" s="8"/>
      <c r="N507" s="8"/>
      <c r="O507" s="11"/>
      <c r="T507" s="7" t="s">
        <v>155</v>
      </c>
    </row>
    <row r="508" spans="1:20" x14ac:dyDescent="0.25">
      <c r="A508" s="7" t="s">
        <v>298</v>
      </c>
      <c r="B508" s="7" t="s">
        <v>151</v>
      </c>
      <c r="C508" s="7" t="s">
        <v>158</v>
      </c>
      <c r="D508" s="7" t="s">
        <v>159</v>
      </c>
      <c r="H508" s="7">
        <v>5</v>
      </c>
      <c r="I508" s="7">
        <v>9</v>
      </c>
      <c r="J508" s="8">
        <f t="shared" si="7"/>
        <v>0.35714285714285715</v>
      </c>
      <c r="K508" s="8"/>
      <c r="L508" s="8"/>
      <c r="M508" s="8"/>
      <c r="N508" s="8"/>
      <c r="O508" s="11"/>
      <c r="T508" s="7" t="s">
        <v>158</v>
      </c>
    </row>
    <row r="509" spans="1:20" x14ac:dyDescent="0.25">
      <c r="A509" s="7" t="s">
        <v>298</v>
      </c>
      <c r="B509" s="7" t="s">
        <v>151</v>
      </c>
      <c r="C509" s="7" t="s">
        <v>296</v>
      </c>
      <c r="D509" s="7" t="s">
        <v>220</v>
      </c>
      <c r="H509" s="7">
        <v>5</v>
      </c>
      <c r="I509" s="7">
        <v>9</v>
      </c>
      <c r="J509" s="8">
        <f t="shared" si="7"/>
        <v>0.35714285714285715</v>
      </c>
      <c r="K509" s="8"/>
      <c r="L509" s="8"/>
      <c r="M509" s="8"/>
      <c r="N509" s="8"/>
      <c r="O509" s="11"/>
      <c r="T509" s="7" t="s">
        <v>296</v>
      </c>
    </row>
    <row r="510" spans="1:20" x14ac:dyDescent="0.25">
      <c r="A510" s="7" t="s">
        <v>298</v>
      </c>
      <c r="B510" s="7" t="s">
        <v>151</v>
      </c>
      <c r="C510" s="7" t="s">
        <v>181</v>
      </c>
      <c r="D510" s="7" t="s">
        <v>173</v>
      </c>
      <c r="H510" s="7">
        <v>4</v>
      </c>
      <c r="I510" s="7">
        <v>10</v>
      </c>
      <c r="J510" s="8">
        <f t="shared" si="7"/>
        <v>0.2857142857142857</v>
      </c>
      <c r="K510" s="8"/>
      <c r="L510" s="8"/>
      <c r="M510" s="8"/>
      <c r="N510" s="8"/>
      <c r="O510" s="11"/>
      <c r="T510" s="7" t="s">
        <v>181</v>
      </c>
    </row>
    <row r="511" spans="1:20" x14ac:dyDescent="0.25">
      <c r="A511" s="7" t="s">
        <v>298</v>
      </c>
      <c r="B511" s="7" t="s">
        <v>151</v>
      </c>
      <c r="C511" s="7" t="s">
        <v>174</v>
      </c>
      <c r="D511" s="7" t="s">
        <v>166</v>
      </c>
      <c r="H511" s="7">
        <v>4</v>
      </c>
      <c r="I511" s="7">
        <v>10</v>
      </c>
      <c r="J511" s="8">
        <f t="shared" si="7"/>
        <v>0.2857142857142857</v>
      </c>
      <c r="K511" s="8"/>
      <c r="L511" s="8"/>
      <c r="M511" s="8"/>
      <c r="N511" s="8"/>
      <c r="O511" s="11"/>
      <c r="T511" s="7" t="s">
        <v>174</v>
      </c>
    </row>
    <row r="512" spans="1:20" x14ac:dyDescent="0.25">
      <c r="A512" s="7" t="s">
        <v>298</v>
      </c>
      <c r="B512" s="7" t="s">
        <v>151</v>
      </c>
      <c r="C512" s="7" t="s">
        <v>197</v>
      </c>
      <c r="D512" s="7" t="s">
        <v>198</v>
      </c>
      <c r="H512" s="7">
        <v>2</v>
      </c>
      <c r="I512" s="7">
        <v>12</v>
      </c>
      <c r="J512" s="8">
        <f t="shared" si="7"/>
        <v>0.14285714285714285</v>
      </c>
      <c r="K512" s="8"/>
      <c r="L512" s="8"/>
      <c r="M512" s="8"/>
      <c r="N512" s="8"/>
      <c r="O512" s="11"/>
      <c r="T512" s="7" t="s">
        <v>197</v>
      </c>
    </row>
    <row r="513" spans="1:20" x14ac:dyDescent="0.25">
      <c r="A513" s="7" t="s">
        <v>298</v>
      </c>
      <c r="B513" s="7" t="s">
        <v>151</v>
      </c>
      <c r="C513" s="7" t="s">
        <v>286</v>
      </c>
      <c r="D513" s="7" t="s">
        <v>152</v>
      </c>
      <c r="H513" s="7">
        <v>1</v>
      </c>
      <c r="I513" s="7">
        <v>13</v>
      </c>
      <c r="J513" s="8">
        <f t="shared" si="7"/>
        <v>7.1428571428571425E-2</v>
      </c>
      <c r="K513" s="8"/>
      <c r="L513" s="8"/>
      <c r="M513" s="8"/>
      <c r="N513" s="8"/>
      <c r="O513" s="11"/>
      <c r="T513" s="7" t="s">
        <v>286</v>
      </c>
    </row>
    <row r="514" spans="1:20" x14ac:dyDescent="0.25">
      <c r="A514" s="7" t="s">
        <v>299</v>
      </c>
      <c r="B514" s="7" t="s">
        <v>151</v>
      </c>
      <c r="C514" s="7" t="s">
        <v>162</v>
      </c>
      <c r="D514" s="7" t="s">
        <v>152</v>
      </c>
      <c r="H514" s="7">
        <v>12</v>
      </c>
      <c r="I514" s="7">
        <v>2</v>
      </c>
      <c r="J514" s="8">
        <f t="shared" ref="J514:J577" si="8">H514/SUM(H514:I514)</f>
        <v>0.8571428571428571</v>
      </c>
      <c r="K514" s="8" t="s">
        <v>30</v>
      </c>
      <c r="L514" s="13" t="s">
        <v>30</v>
      </c>
      <c r="M514" s="8" t="s">
        <v>30</v>
      </c>
      <c r="N514" s="8" t="s">
        <v>30</v>
      </c>
      <c r="O514" s="11" t="s">
        <v>30</v>
      </c>
      <c r="P514" s="7">
        <v>5</v>
      </c>
      <c r="Q514" s="7">
        <v>1</v>
      </c>
      <c r="R514" s="7">
        <v>2</v>
      </c>
      <c r="S514" s="7">
        <v>0</v>
      </c>
      <c r="T514" s="7" t="s">
        <v>162</v>
      </c>
    </row>
    <row r="515" spans="1:20" x14ac:dyDescent="0.25">
      <c r="A515" s="7" t="s">
        <v>299</v>
      </c>
      <c r="B515" s="7" t="s">
        <v>151</v>
      </c>
      <c r="C515" s="7" t="s">
        <v>176</v>
      </c>
      <c r="D515" s="7" t="s">
        <v>171</v>
      </c>
      <c r="H515" s="7">
        <v>12</v>
      </c>
      <c r="I515" s="7">
        <v>2</v>
      </c>
      <c r="J515" s="8">
        <f t="shared" si="8"/>
        <v>0.8571428571428571</v>
      </c>
      <c r="K515" s="8" t="s">
        <v>30</v>
      </c>
      <c r="L515" s="13" t="s">
        <v>30</v>
      </c>
      <c r="M515" s="8" t="s">
        <v>30</v>
      </c>
      <c r="N515" s="8" t="s">
        <v>30</v>
      </c>
      <c r="O515" s="11"/>
      <c r="P515" s="7">
        <v>4</v>
      </c>
      <c r="Q515" s="7">
        <v>2</v>
      </c>
      <c r="R515" s="7">
        <v>1</v>
      </c>
      <c r="S515" s="7">
        <v>1</v>
      </c>
      <c r="T515" s="7" t="s">
        <v>176</v>
      </c>
    </row>
    <row r="516" spans="1:20" x14ac:dyDescent="0.25">
      <c r="A516" s="7" t="s">
        <v>299</v>
      </c>
      <c r="B516" s="7" t="s">
        <v>151</v>
      </c>
      <c r="C516" s="7" t="s">
        <v>278</v>
      </c>
      <c r="D516" s="7" t="s">
        <v>171</v>
      </c>
      <c r="H516" s="7">
        <v>11</v>
      </c>
      <c r="I516" s="7">
        <v>3</v>
      </c>
      <c r="J516" s="8">
        <f t="shared" si="8"/>
        <v>0.7857142857142857</v>
      </c>
      <c r="K516" s="8" t="s">
        <v>30</v>
      </c>
      <c r="L516" s="13" t="s">
        <v>30</v>
      </c>
      <c r="M516" s="8" t="s">
        <v>30</v>
      </c>
      <c r="N516" s="8"/>
      <c r="O516" s="11"/>
      <c r="P516" s="7">
        <v>4</v>
      </c>
      <c r="Q516" s="7">
        <v>2</v>
      </c>
      <c r="R516" s="7">
        <v>0</v>
      </c>
      <c r="S516" s="7">
        <v>1</v>
      </c>
      <c r="T516" s="7" t="s">
        <v>278</v>
      </c>
    </row>
    <row r="517" spans="1:20" x14ac:dyDescent="0.25">
      <c r="A517" s="7" t="s">
        <v>299</v>
      </c>
      <c r="B517" s="7" t="s">
        <v>151</v>
      </c>
      <c r="C517" s="7" t="s">
        <v>169</v>
      </c>
      <c r="D517" s="7" t="s">
        <v>161</v>
      </c>
      <c r="H517" s="7">
        <v>10</v>
      </c>
      <c r="I517" s="7">
        <v>4</v>
      </c>
      <c r="J517" s="8">
        <f t="shared" si="8"/>
        <v>0.7142857142857143</v>
      </c>
      <c r="K517" s="8" t="s">
        <v>30</v>
      </c>
      <c r="L517" s="13" t="s">
        <v>30</v>
      </c>
      <c r="M517" s="8" t="s">
        <v>30</v>
      </c>
      <c r="N517" s="8"/>
      <c r="O517" s="11"/>
      <c r="P517" s="7">
        <v>4</v>
      </c>
      <c r="Q517" s="7">
        <v>2</v>
      </c>
      <c r="R517" s="7">
        <v>0</v>
      </c>
      <c r="S517" s="7">
        <v>1</v>
      </c>
      <c r="T517" s="7" t="s">
        <v>169</v>
      </c>
    </row>
    <row r="518" spans="1:20" x14ac:dyDescent="0.25">
      <c r="A518" s="7" t="s">
        <v>299</v>
      </c>
      <c r="B518" s="7" t="s">
        <v>151</v>
      </c>
      <c r="C518" s="7" t="s">
        <v>149</v>
      </c>
      <c r="D518" s="7" t="s">
        <v>152</v>
      </c>
      <c r="H518" s="7">
        <v>10</v>
      </c>
      <c r="I518" s="7">
        <v>4</v>
      </c>
      <c r="J518" s="8">
        <f t="shared" si="8"/>
        <v>0.7142857142857143</v>
      </c>
      <c r="K518" s="8" t="s">
        <v>30</v>
      </c>
      <c r="L518" s="13" t="s">
        <v>30</v>
      </c>
      <c r="M518" s="8"/>
      <c r="N518" s="8"/>
      <c r="O518" s="11"/>
      <c r="P518" s="7">
        <v>4</v>
      </c>
      <c r="Q518" s="7">
        <v>2</v>
      </c>
      <c r="T518" s="7" t="s">
        <v>149</v>
      </c>
    </row>
    <row r="519" spans="1:20" x14ac:dyDescent="0.25">
      <c r="A519" s="7" t="s">
        <v>299</v>
      </c>
      <c r="B519" s="7" t="s">
        <v>151</v>
      </c>
      <c r="C519" s="7" t="s">
        <v>581</v>
      </c>
      <c r="D519" s="7" t="s">
        <v>154</v>
      </c>
      <c r="H519" s="7">
        <v>10</v>
      </c>
      <c r="I519" s="7">
        <v>4</v>
      </c>
      <c r="J519" s="8">
        <f t="shared" si="8"/>
        <v>0.7142857142857143</v>
      </c>
      <c r="K519" s="8" t="s">
        <v>30</v>
      </c>
      <c r="L519" s="13" t="s">
        <v>30</v>
      </c>
      <c r="M519" s="8"/>
      <c r="N519" s="8"/>
      <c r="O519" s="11"/>
      <c r="P519" s="7">
        <v>4</v>
      </c>
      <c r="Q519" s="7">
        <v>2</v>
      </c>
      <c r="T519" s="7" t="s">
        <v>581</v>
      </c>
    </row>
    <row r="520" spans="1:20" x14ac:dyDescent="0.25">
      <c r="A520" s="7" t="s">
        <v>299</v>
      </c>
      <c r="B520" s="7" t="s">
        <v>151</v>
      </c>
      <c r="C520" s="7" t="s">
        <v>265</v>
      </c>
      <c r="D520" s="7" t="s">
        <v>154</v>
      </c>
      <c r="H520" s="7">
        <v>9</v>
      </c>
      <c r="I520" s="7">
        <v>5</v>
      </c>
      <c r="J520" s="8">
        <f t="shared" si="8"/>
        <v>0.6428571428571429</v>
      </c>
      <c r="K520" s="8" t="s">
        <v>30</v>
      </c>
      <c r="L520" s="13" t="s">
        <v>30</v>
      </c>
      <c r="M520" s="8"/>
      <c r="N520" s="8"/>
      <c r="O520" s="11"/>
      <c r="P520" s="7">
        <v>4</v>
      </c>
      <c r="Q520" s="7">
        <v>2</v>
      </c>
      <c r="T520" s="7" t="s">
        <v>177</v>
      </c>
    </row>
    <row r="521" spans="1:20" x14ac:dyDescent="0.25">
      <c r="A521" s="7" t="s">
        <v>299</v>
      </c>
      <c r="B521" s="7" t="s">
        <v>151</v>
      </c>
      <c r="C521" s="7" t="s">
        <v>155</v>
      </c>
      <c r="D521" s="7" t="s">
        <v>154</v>
      </c>
      <c r="H521" s="7">
        <v>9</v>
      </c>
      <c r="I521" s="7">
        <v>5</v>
      </c>
      <c r="J521" s="8">
        <f t="shared" si="8"/>
        <v>0.6428571428571429</v>
      </c>
      <c r="K521" s="8" t="s">
        <v>30</v>
      </c>
      <c r="L521" s="8"/>
      <c r="M521" s="8"/>
      <c r="N521" s="8"/>
      <c r="O521" s="11"/>
      <c r="P521" s="7">
        <v>3</v>
      </c>
      <c r="Q521" s="7">
        <v>3</v>
      </c>
      <c r="T521" s="7" t="s">
        <v>155</v>
      </c>
    </row>
    <row r="522" spans="1:20" x14ac:dyDescent="0.25">
      <c r="A522" s="7" t="s">
        <v>299</v>
      </c>
      <c r="B522" s="7" t="s">
        <v>151</v>
      </c>
      <c r="C522" s="7" t="s">
        <v>178</v>
      </c>
      <c r="D522" s="7" t="s">
        <v>157</v>
      </c>
      <c r="H522" s="7">
        <v>9</v>
      </c>
      <c r="I522" s="7">
        <v>5</v>
      </c>
      <c r="J522" s="8">
        <f t="shared" si="8"/>
        <v>0.6428571428571429</v>
      </c>
      <c r="K522" s="8" t="s">
        <v>30</v>
      </c>
      <c r="L522" s="13" t="s">
        <v>30</v>
      </c>
      <c r="M522" s="8"/>
      <c r="N522" s="8"/>
      <c r="O522" s="11"/>
      <c r="P522" s="7">
        <v>3</v>
      </c>
      <c r="Q522" s="7">
        <v>3</v>
      </c>
      <c r="T522" s="7" t="s">
        <v>178</v>
      </c>
    </row>
    <row r="523" spans="1:20" x14ac:dyDescent="0.25">
      <c r="A523" s="7" t="s">
        <v>299</v>
      </c>
      <c r="B523" s="7" t="s">
        <v>151</v>
      </c>
      <c r="C523" s="7" t="s">
        <v>286</v>
      </c>
      <c r="D523" s="7" t="s">
        <v>152</v>
      </c>
      <c r="H523" s="7">
        <v>9</v>
      </c>
      <c r="I523" s="7">
        <v>5</v>
      </c>
      <c r="J523" s="8">
        <f t="shared" si="8"/>
        <v>0.6428571428571429</v>
      </c>
      <c r="K523" s="8" t="s">
        <v>30</v>
      </c>
      <c r="L523" s="8"/>
      <c r="M523" s="8"/>
      <c r="N523" s="8"/>
      <c r="O523" s="11"/>
      <c r="P523" s="7">
        <v>2</v>
      </c>
      <c r="Q523" s="7">
        <v>4</v>
      </c>
      <c r="T523" s="7" t="s">
        <v>286</v>
      </c>
    </row>
    <row r="524" spans="1:20" x14ac:dyDescent="0.25">
      <c r="A524" s="7" t="s">
        <v>299</v>
      </c>
      <c r="B524" s="7" t="s">
        <v>151</v>
      </c>
      <c r="C524" s="7" t="s">
        <v>242</v>
      </c>
      <c r="D524" s="7" t="s">
        <v>243</v>
      </c>
      <c r="H524" s="7">
        <v>9</v>
      </c>
      <c r="I524" s="7">
        <v>5</v>
      </c>
      <c r="J524" s="8">
        <f t="shared" si="8"/>
        <v>0.6428571428571429</v>
      </c>
      <c r="K524" s="8" t="s">
        <v>30</v>
      </c>
      <c r="L524" s="8"/>
      <c r="M524" s="8"/>
      <c r="N524" s="8"/>
      <c r="O524" s="11"/>
      <c r="P524" s="7">
        <v>1</v>
      </c>
      <c r="Q524" s="7">
        <v>5</v>
      </c>
      <c r="T524" s="7" t="s">
        <v>241</v>
      </c>
    </row>
    <row r="525" spans="1:20" x14ac:dyDescent="0.25">
      <c r="A525" s="7" t="s">
        <v>299</v>
      </c>
      <c r="B525" s="7" t="s">
        <v>151</v>
      </c>
      <c r="C525" s="7" t="s">
        <v>156</v>
      </c>
      <c r="D525" s="7" t="s">
        <v>157</v>
      </c>
      <c r="H525" s="7">
        <v>9</v>
      </c>
      <c r="I525" s="7">
        <v>5</v>
      </c>
      <c r="J525" s="8">
        <f t="shared" si="8"/>
        <v>0.6428571428571429</v>
      </c>
      <c r="K525" s="8" t="s">
        <v>30</v>
      </c>
      <c r="L525" s="8"/>
      <c r="M525" s="8"/>
      <c r="N525" s="8"/>
      <c r="O525" s="11"/>
      <c r="P525" s="7">
        <v>1</v>
      </c>
      <c r="Q525" s="7">
        <v>5</v>
      </c>
      <c r="T525" s="7" t="s">
        <v>156</v>
      </c>
    </row>
    <row r="526" spans="1:20" x14ac:dyDescent="0.25">
      <c r="A526" s="7" t="s">
        <v>299</v>
      </c>
      <c r="B526" s="7" t="s">
        <v>151</v>
      </c>
      <c r="C526" s="7" t="s">
        <v>188</v>
      </c>
      <c r="D526" s="7" t="s">
        <v>187</v>
      </c>
      <c r="H526" s="7">
        <v>8</v>
      </c>
      <c r="I526" s="7">
        <v>6</v>
      </c>
      <c r="J526" s="8">
        <f t="shared" si="8"/>
        <v>0.5714285714285714</v>
      </c>
      <c r="K526" s="8" t="s">
        <v>30</v>
      </c>
      <c r="L526" s="8"/>
      <c r="M526" s="8"/>
      <c r="N526" s="8"/>
      <c r="O526" s="11"/>
      <c r="P526" s="7">
        <v>3</v>
      </c>
      <c r="Q526" s="7">
        <v>3</v>
      </c>
      <c r="T526" s="7" t="s">
        <v>188</v>
      </c>
    </row>
    <row r="527" spans="1:20" x14ac:dyDescent="0.25">
      <c r="A527" s="7" t="s">
        <v>299</v>
      </c>
      <c r="B527" s="7" t="s">
        <v>151</v>
      </c>
      <c r="C527" s="7" t="s">
        <v>295</v>
      </c>
      <c r="D527" s="7" t="s">
        <v>171</v>
      </c>
      <c r="H527" s="7">
        <v>8</v>
      </c>
      <c r="I527" s="7">
        <v>6</v>
      </c>
      <c r="J527" s="8">
        <f t="shared" si="8"/>
        <v>0.5714285714285714</v>
      </c>
      <c r="K527" s="8" t="s">
        <v>30</v>
      </c>
      <c r="L527" s="8"/>
      <c r="M527" s="8"/>
      <c r="N527" s="8"/>
      <c r="O527" s="11"/>
      <c r="P527" s="7">
        <v>2</v>
      </c>
      <c r="Q527" s="7">
        <v>4</v>
      </c>
      <c r="T527" s="7" t="s">
        <v>295</v>
      </c>
    </row>
    <row r="528" spans="1:20" x14ac:dyDescent="0.25">
      <c r="A528" s="7" t="s">
        <v>299</v>
      </c>
      <c r="B528" s="7" t="s">
        <v>151</v>
      </c>
      <c r="C528" s="7" t="s">
        <v>289</v>
      </c>
      <c r="D528" s="7" t="s">
        <v>171</v>
      </c>
      <c r="H528" s="7">
        <v>8</v>
      </c>
      <c r="I528" s="7">
        <v>6</v>
      </c>
      <c r="J528" s="8">
        <f t="shared" si="8"/>
        <v>0.5714285714285714</v>
      </c>
      <c r="K528" s="8" t="s">
        <v>30</v>
      </c>
      <c r="L528" s="8"/>
      <c r="M528" s="8"/>
      <c r="N528" s="8"/>
      <c r="O528" s="11"/>
      <c r="P528" s="7">
        <v>2</v>
      </c>
      <c r="Q528" s="7">
        <v>4</v>
      </c>
      <c r="T528" s="7" t="s">
        <v>288</v>
      </c>
    </row>
    <row r="529" spans="1:20" x14ac:dyDescent="0.25">
      <c r="A529" s="7" t="s">
        <v>299</v>
      </c>
      <c r="B529" s="7" t="s">
        <v>151</v>
      </c>
      <c r="C529" s="7" t="s">
        <v>300</v>
      </c>
      <c r="D529" s="7" t="s">
        <v>187</v>
      </c>
      <c r="H529" s="7">
        <v>8</v>
      </c>
      <c r="I529" s="7">
        <v>6</v>
      </c>
      <c r="J529" s="8">
        <f t="shared" si="8"/>
        <v>0.5714285714285714</v>
      </c>
      <c r="K529" s="8" t="s">
        <v>30</v>
      </c>
      <c r="L529" s="8"/>
      <c r="M529" s="8"/>
      <c r="N529" s="8"/>
      <c r="O529" s="11"/>
      <c r="P529" s="7">
        <v>2</v>
      </c>
      <c r="Q529" s="7">
        <v>4</v>
      </c>
      <c r="T529" s="7" t="s">
        <v>300</v>
      </c>
    </row>
    <row r="530" spans="1:20" x14ac:dyDescent="0.25">
      <c r="A530" s="7" t="s">
        <v>299</v>
      </c>
      <c r="B530" s="7" t="s">
        <v>151</v>
      </c>
      <c r="C530" s="7" t="s">
        <v>179</v>
      </c>
      <c r="D530" s="7" t="s">
        <v>164</v>
      </c>
      <c r="H530" s="7">
        <v>8</v>
      </c>
      <c r="I530" s="7">
        <v>6</v>
      </c>
      <c r="J530" s="8">
        <f t="shared" si="8"/>
        <v>0.5714285714285714</v>
      </c>
      <c r="K530" s="8"/>
      <c r="L530" s="8"/>
      <c r="M530" s="8"/>
      <c r="N530" s="8"/>
      <c r="O530" s="11"/>
      <c r="T530" s="7" t="s">
        <v>179</v>
      </c>
    </row>
    <row r="531" spans="1:20" x14ac:dyDescent="0.25">
      <c r="A531" s="7" t="s">
        <v>299</v>
      </c>
      <c r="B531" s="7" t="s">
        <v>151</v>
      </c>
      <c r="C531" s="7" t="s">
        <v>291</v>
      </c>
      <c r="D531" s="7" t="s">
        <v>173</v>
      </c>
      <c r="H531" s="7">
        <v>8</v>
      </c>
      <c r="I531" s="7">
        <v>6</v>
      </c>
      <c r="J531" s="8">
        <f t="shared" si="8"/>
        <v>0.5714285714285714</v>
      </c>
      <c r="K531" s="8"/>
      <c r="L531" s="8"/>
      <c r="M531" s="8"/>
      <c r="N531" s="8"/>
      <c r="O531" s="11"/>
      <c r="T531" s="7" t="s">
        <v>290</v>
      </c>
    </row>
    <row r="532" spans="1:20" x14ac:dyDescent="0.25">
      <c r="A532" s="7" t="s">
        <v>299</v>
      </c>
      <c r="B532" s="7" t="s">
        <v>151</v>
      </c>
      <c r="C532" s="7" t="s">
        <v>280</v>
      </c>
      <c r="D532" s="7" t="s">
        <v>164</v>
      </c>
      <c r="H532" s="7">
        <v>7</v>
      </c>
      <c r="I532" s="7">
        <v>7</v>
      </c>
      <c r="J532" s="8">
        <f t="shared" si="8"/>
        <v>0.5</v>
      </c>
      <c r="K532" s="8"/>
      <c r="L532" s="8"/>
      <c r="M532" s="8"/>
      <c r="N532" s="8"/>
      <c r="O532" s="11"/>
      <c r="T532" s="7" t="s">
        <v>279</v>
      </c>
    </row>
    <row r="533" spans="1:20" x14ac:dyDescent="0.25">
      <c r="A533" s="7" t="s">
        <v>299</v>
      </c>
      <c r="B533" s="7" t="s">
        <v>151</v>
      </c>
      <c r="C533" s="7" t="s">
        <v>297</v>
      </c>
      <c r="D533" s="7" t="s">
        <v>243</v>
      </c>
      <c r="H533" s="7">
        <v>7</v>
      </c>
      <c r="I533" s="7">
        <v>7</v>
      </c>
      <c r="J533" s="8">
        <f t="shared" si="8"/>
        <v>0.5</v>
      </c>
      <c r="K533" s="8"/>
      <c r="L533" s="8"/>
      <c r="M533" s="8"/>
      <c r="N533" s="8"/>
      <c r="O533" s="11"/>
      <c r="T533" s="7" t="s">
        <v>297</v>
      </c>
    </row>
    <row r="534" spans="1:20" x14ac:dyDescent="0.25">
      <c r="A534" s="7" t="s">
        <v>299</v>
      </c>
      <c r="B534" s="7" t="s">
        <v>151</v>
      </c>
      <c r="C534" s="7" t="s">
        <v>174</v>
      </c>
      <c r="D534" s="7" t="s">
        <v>166</v>
      </c>
      <c r="H534" s="7">
        <v>6</v>
      </c>
      <c r="I534" s="7">
        <v>8</v>
      </c>
      <c r="J534" s="8">
        <f t="shared" si="8"/>
        <v>0.42857142857142855</v>
      </c>
      <c r="K534" s="8"/>
      <c r="L534" s="8"/>
      <c r="M534" s="8"/>
      <c r="N534" s="8"/>
      <c r="O534" s="11"/>
      <c r="T534" s="7" t="s">
        <v>174</v>
      </c>
    </row>
    <row r="535" spans="1:20" x14ac:dyDescent="0.25">
      <c r="A535" s="7" t="s">
        <v>299</v>
      </c>
      <c r="B535" s="7" t="s">
        <v>151</v>
      </c>
      <c r="C535" s="7" t="s">
        <v>201</v>
      </c>
      <c r="D535" s="7" t="s">
        <v>154</v>
      </c>
      <c r="H535" s="7">
        <v>6</v>
      </c>
      <c r="I535" s="7">
        <v>8</v>
      </c>
      <c r="J535" s="8">
        <f t="shared" si="8"/>
        <v>0.42857142857142855</v>
      </c>
      <c r="K535" s="8"/>
      <c r="L535" s="8"/>
      <c r="M535" s="8"/>
      <c r="N535" s="8"/>
      <c r="O535" s="11"/>
      <c r="T535" s="7" t="s">
        <v>201</v>
      </c>
    </row>
    <row r="536" spans="1:20" x14ac:dyDescent="0.25">
      <c r="A536" s="7" t="s">
        <v>299</v>
      </c>
      <c r="B536" s="7" t="s">
        <v>151</v>
      </c>
      <c r="C536" s="7" t="s">
        <v>257</v>
      </c>
      <c r="D536" s="7" t="s">
        <v>215</v>
      </c>
      <c r="H536" s="7">
        <v>5</v>
      </c>
      <c r="I536" s="7">
        <v>9</v>
      </c>
      <c r="J536" s="8">
        <f t="shared" si="8"/>
        <v>0.35714285714285715</v>
      </c>
      <c r="K536" s="8"/>
      <c r="L536" s="8"/>
      <c r="M536" s="8"/>
      <c r="N536" s="8"/>
      <c r="O536" s="11"/>
      <c r="T536" s="7" t="s">
        <v>257</v>
      </c>
    </row>
    <row r="537" spans="1:20" x14ac:dyDescent="0.25">
      <c r="A537" s="7" t="s">
        <v>299</v>
      </c>
      <c r="B537" s="7" t="s">
        <v>151</v>
      </c>
      <c r="C537" s="7" t="s">
        <v>158</v>
      </c>
      <c r="D537" s="7" t="s">
        <v>159</v>
      </c>
      <c r="H537" s="7">
        <v>5</v>
      </c>
      <c r="I537" s="7">
        <v>9</v>
      </c>
      <c r="J537" s="8">
        <f t="shared" si="8"/>
        <v>0.35714285714285715</v>
      </c>
      <c r="K537" s="8"/>
      <c r="L537" s="8"/>
      <c r="M537" s="8"/>
      <c r="N537" s="8"/>
      <c r="O537" s="11"/>
      <c r="T537" s="7" t="s">
        <v>158</v>
      </c>
    </row>
    <row r="538" spans="1:20" x14ac:dyDescent="0.25">
      <c r="A538" s="7" t="s">
        <v>299</v>
      </c>
      <c r="B538" s="7" t="s">
        <v>151</v>
      </c>
      <c r="C538" s="7" t="s">
        <v>296</v>
      </c>
      <c r="D538" s="7" t="s">
        <v>220</v>
      </c>
      <c r="H538" s="7">
        <v>4</v>
      </c>
      <c r="I538" s="7">
        <v>10</v>
      </c>
      <c r="J538" s="8">
        <f t="shared" si="8"/>
        <v>0.2857142857142857</v>
      </c>
      <c r="K538" s="8"/>
      <c r="L538" s="8"/>
      <c r="M538" s="8"/>
      <c r="N538" s="8"/>
      <c r="O538" s="11"/>
      <c r="T538" s="7" t="s">
        <v>296</v>
      </c>
    </row>
    <row r="539" spans="1:20" x14ac:dyDescent="0.25">
      <c r="A539" s="7" t="s">
        <v>299</v>
      </c>
      <c r="B539" s="7" t="s">
        <v>151</v>
      </c>
      <c r="C539" s="7" t="s">
        <v>301</v>
      </c>
      <c r="D539" s="7" t="s">
        <v>251</v>
      </c>
      <c r="H539" s="7">
        <v>3</v>
      </c>
      <c r="I539" s="7">
        <v>11</v>
      </c>
      <c r="J539" s="8">
        <f t="shared" si="8"/>
        <v>0.21428571428571427</v>
      </c>
      <c r="K539" s="8"/>
      <c r="L539" s="8"/>
      <c r="M539" s="8"/>
      <c r="N539" s="8"/>
      <c r="O539" s="11"/>
      <c r="T539" s="7" t="s">
        <v>301</v>
      </c>
    </row>
    <row r="540" spans="1:20" x14ac:dyDescent="0.25">
      <c r="A540" s="7" t="s">
        <v>299</v>
      </c>
      <c r="B540" s="7" t="s">
        <v>151</v>
      </c>
      <c r="C540" s="7" t="s">
        <v>250</v>
      </c>
      <c r="D540" s="7" t="s">
        <v>251</v>
      </c>
      <c r="H540" s="7">
        <v>3</v>
      </c>
      <c r="I540" s="7">
        <v>11</v>
      </c>
      <c r="J540" s="8">
        <f t="shared" si="8"/>
        <v>0.21428571428571427</v>
      </c>
      <c r="K540" s="8"/>
      <c r="L540" s="8"/>
      <c r="M540" s="8"/>
      <c r="N540" s="8"/>
      <c r="O540" s="11"/>
      <c r="T540" s="7" t="s">
        <v>250</v>
      </c>
    </row>
    <row r="541" spans="1:20" x14ac:dyDescent="0.25">
      <c r="A541" s="7" t="s">
        <v>299</v>
      </c>
      <c r="B541" s="7" t="s">
        <v>151</v>
      </c>
      <c r="C541" s="7" t="s">
        <v>181</v>
      </c>
      <c r="D541" s="7" t="s">
        <v>173</v>
      </c>
      <c r="H541" s="7">
        <v>3</v>
      </c>
      <c r="I541" s="7">
        <v>11</v>
      </c>
      <c r="J541" s="8">
        <f t="shared" si="8"/>
        <v>0.21428571428571427</v>
      </c>
      <c r="K541" s="8"/>
      <c r="L541" s="8"/>
      <c r="M541" s="8"/>
      <c r="N541" s="8"/>
      <c r="O541" s="11"/>
      <c r="T541" s="7" t="s">
        <v>181</v>
      </c>
    </row>
    <row r="542" spans="1:20" x14ac:dyDescent="0.25">
      <c r="A542" s="7" t="s">
        <v>299</v>
      </c>
      <c r="B542" s="7" t="s">
        <v>151</v>
      </c>
      <c r="C542" s="7" t="s">
        <v>302</v>
      </c>
      <c r="D542" s="7" t="s">
        <v>152</v>
      </c>
      <c r="H542" s="7">
        <v>3</v>
      </c>
      <c r="I542" s="7">
        <v>11</v>
      </c>
      <c r="J542" s="8">
        <f t="shared" si="8"/>
        <v>0.21428571428571427</v>
      </c>
      <c r="K542" s="8"/>
      <c r="L542" s="8"/>
      <c r="M542" s="8"/>
      <c r="N542" s="8"/>
      <c r="O542" s="11"/>
      <c r="T542" s="7" t="s">
        <v>302</v>
      </c>
    </row>
    <row r="543" spans="1:20" x14ac:dyDescent="0.25">
      <c r="A543" s="7" t="s">
        <v>299</v>
      </c>
      <c r="B543" s="7" t="s">
        <v>151</v>
      </c>
      <c r="C543" s="7" t="s">
        <v>197</v>
      </c>
      <c r="D543" s="7" t="s">
        <v>198</v>
      </c>
      <c r="H543" s="7">
        <v>3</v>
      </c>
      <c r="I543" s="7">
        <v>11</v>
      </c>
      <c r="J543" s="8">
        <f t="shared" si="8"/>
        <v>0.21428571428571427</v>
      </c>
      <c r="K543" s="8"/>
      <c r="L543" s="8"/>
      <c r="M543" s="8"/>
      <c r="N543" s="8"/>
      <c r="O543" s="11"/>
      <c r="T543" s="7" t="s">
        <v>197</v>
      </c>
    </row>
    <row r="544" spans="1:20" x14ac:dyDescent="0.25">
      <c r="A544" s="7" t="s">
        <v>299</v>
      </c>
      <c r="B544" s="7" t="s">
        <v>151</v>
      </c>
      <c r="C544" s="7" t="s">
        <v>303</v>
      </c>
      <c r="D544" s="7" t="s">
        <v>215</v>
      </c>
      <c r="H544" s="7">
        <v>2</v>
      </c>
      <c r="I544" s="7">
        <v>12</v>
      </c>
      <c r="J544" s="8">
        <f t="shared" si="8"/>
        <v>0.14285714285714285</v>
      </c>
      <c r="K544" s="8"/>
      <c r="L544" s="8"/>
      <c r="M544" s="8"/>
      <c r="N544" s="8"/>
      <c r="O544" s="11"/>
      <c r="T544" s="7" t="s">
        <v>303</v>
      </c>
    </row>
    <row r="545" spans="1:20" x14ac:dyDescent="0.25">
      <c r="A545" s="7" t="s">
        <v>299</v>
      </c>
      <c r="B545" s="7" t="s">
        <v>151</v>
      </c>
      <c r="C545" s="7" t="s">
        <v>304</v>
      </c>
      <c r="D545" s="7" t="s">
        <v>305</v>
      </c>
      <c r="H545" s="7">
        <v>0</v>
      </c>
      <c r="I545" s="7">
        <v>14</v>
      </c>
      <c r="J545" s="8">
        <f t="shared" si="8"/>
        <v>0</v>
      </c>
      <c r="K545" s="8"/>
      <c r="L545" s="8"/>
      <c r="M545" s="8"/>
      <c r="N545" s="8"/>
      <c r="O545" s="11"/>
      <c r="T545" s="7" t="s">
        <v>304</v>
      </c>
    </row>
    <row r="546" spans="1:20" x14ac:dyDescent="0.25">
      <c r="A546" s="7" t="s">
        <v>306</v>
      </c>
      <c r="B546" s="7" t="s">
        <v>151</v>
      </c>
      <c r="C546" s="7" t="s">
        <v>176</v>
      </c>
      <c r="D546" s="7" t="s">
        <v>171</v>
      </c>
      <c r="H546" s="7">
        <v>9</v>
      </c>
      <c r="I546" s="7">
        <v>1</v>
      </c>
      <c r="J546" s="8">
        <f t="shared" si="8"/>
        <v>0.9</v>
      </c>
      <c r="K546" s="8" t="s">
        <v>30</v>
      </c>
      <c r="L546" s="8" t="s">
        <v>30</v>
      </c>
      <c r="M546" s="8" t="s">
        <v>30</v>
      </c>
      <c r="N546" s="8" t="s">
        <v>30</v>
      </c>
      <c r="O546" s="11" t="s">
        <v>30</v>
      </c>
      <c r="P546" s="7">
        <v>2</v>
      </c>
      <c r="Q546" s="7">
        <v>0</v>
      </c>
      <c r="R546" s="7">
        <v>2</v>
      </c>
      <c r="S546" s="7">
        <v>0</v>
      </c>
      <c r="T546" s="7" t="s">
        <v>176</v>
      </c>
    </row>
    <row r="547" spans="1:20" x14ac:dyDescent="0.25">
      <c r="A547" s="15" t="s">
        <v>306</v>
      </c>
      <c r="B547" s="15" t="s">
        <v>307</v>
      </c>
      <c r="C547" s="14" t="s">
        <v>169</v>
      </c>
      <c r="D547" s="15" t="s">
        <v>161</v>
      </c>
      <c r="H547" s="7">
        <v>15</v>
      </c>
      <c r="I547" s="7">
        <v>3</v>
      </c>
      <c r="J547" s="8">
        <f t="shared" si="8"/>
        <v>0.83333333333333337</v>
      </c>
      <c r="K547" s="7" t="s">
        <v>30</v>
      </c>
      <c r="L547" s="7" t="s">
        <v>30</v>
      </c>
      <c r="M547" s="7" t="s">
        <v>30</v>
      </c>
      <c r="N547" s="7" t="s">
        <v>30</v>
      </c>
      <c r="O547" s="16" t="s">
        <v>30</v>
      </c>
      <c r="T547" s="14" t="s">
        <v>169</v>
      </c>
    </row>
    <row r="548" spans="1:20" x14ac:dyDescent="0.25">
      <c r="A548" s="7" t="s">
        <v>306</v>
      </c>
      <c r="B548" s="7" t="s">
        <v>151</v>
      </c>
      <c r="C548" s="7" t="s">
        <v>286</v>
      </c>
      <c r="D548" s="7" t="s">
        <v>152</v>
      </c>
      <c r="H548" s="7">
        <v>8</v>
      </c>
      <c r="I548" s="7">
        <v>2</v>
      </c>
      <c r="J548" s="8">
        <f t="shared" si="8"/>
        <v>0.8</v>
      </c>
      <c r="K548" s="8" t="s">
        <v>30</v>
      </c>
      <c r="L548" s="8" t="s">
        <v>30</v>
      </c>
      <c r="M548" s="8" t="s">
        <v>30</v>
      </c>
      <c r="N548" s="8"/>
      <c r="O548" s="11"/>
      <c r="P548" s="7">
        <v>2</v>
      </c>
      <c r="Q548" s="7">
        <v>0</v>
      </c>
      <c r="R548" s="7">
        <v>2</v>
      </c>
      <c r="S548" s="7">
        <v>1</v>
      </c>
      <c r="T548" s="7" t="s">
        <v>286</v>
      </c>
    </row>
    <row r="549" spans="1:20" x14ac:dyDescent="0.25">
      <c r="A549" s="7" t="s">
        <v>306</v>
      </c>
      <c r="B549" s="7" t="s">
        <v>151</v>
      </c>
      <c r="C549" s="7" t="s">
        <v>295</v>
      </c>
      <c r="D549" s="7" t="s">
        <v>171</v>
      </c>
      <c r="H549" s="7">
        <v>8</v>
      </c>
      <c r="I549" s="7">
        <v>2</v>
      </c>
      <c r="J549" s="8">
        <f t="shared" si="8"/>
        <v>0.8</v>
      </c>
      <c r="K549" s="8" t="s">
        <v>30</v>
      </c>
      <c r="L549" s="8" t="s">
        <v>30</v>
      </c>
      <c r="M549" s="8" t="s">
        <v>30</v>
      </c>
      <c r="N549" s="8"/>
      <c r="O549" s="11"/>
      <c r="P549" s="7">
        <v>2</v>
      </c>
      <c r="Q549" s="7">
        <v>0</v>
      </c>
      <c r="R549" s="7">
        <v>2</v>
      </c>
      <c r="S549" s="7">
        <v>1</v>
      </c>
      <c r="T549" s="7" t="s">
        <v>176</v>
      </c>
    </row>
    <row r="550" spans="1:20" x14ac:dyDescent="0.25">
      <c r="A550" s="15" t="s">
        <v>306</v>
      </c>
      <c r="B550" s="15" t="s">
        <v>307</v>
      </c>
      <c r="C550" s="14" t="s">
        <v>162</v>
      </c>
      <c r="D550" s="15" t="s">
        <v>152</v>
      </c>
      <c r="H550" s="7">
        <v>13</v>
      </c>
      <c r="I550" s="7">
        <v>5</v>
      </c>
      <c r="J550" s="8">
        <f t="shared" si="8"/>
        <v>0.72222222222222221</v>
      </c>
      <c r="K550" s="7" t="s">
        <v>30</v>
      </c>
      <c r="L550" s="7" t="s">
        <v>30</v>
      </c>
      <c r="M550" s="7" t="s">
        <v>30</v>
      </c>
      <c r="N550" s="7" t="s">
        <v>30</v>
      </c>
      <c r="T550" s="15" t="s">
        <v>162</v>
      </c>
    </row>
    <row r="551" spans="1:20" x14ac:dyDescent="0.25">
      <c r="A551" s="15" t="s">
        <v>306</v>
      </c>
      <c r="B551" s="15" t="s">
        <v>307</v>
      </c>
      <c r="C551" s="15" t="s">
        <v>308</v>
      </c>
      <c r="D551" s="15" t="s">
        <v>157</v>
      </c>
      <c r="H551" s="7">
        <v>13</v>
      </c>
      <c r="I551" s="7">
        <v>5</v>
      </c>
      <c r="J551" s="8">
        <f t="shared" si="8"/>
        <v>0.72222222222222221</v>
      </c>
      <c r="K551" s="7" t="s">
        <v>30</v>
      </c>
      <c r="L551" s="7" t="s">
        <v>30</v>
      </c>
      <c r="M551" s="7" t="s">
        <v>30</v>
      </c>
      <c r="T551" s="14" t="s">
        <v>178</v>
      </c>
    </row>
    <row r="552" spans="1:20" x14ac:dyDescent="0.25">
      <c r="A552" s="15" t="s">
        <v>306</v>
      </c>
      <c r="B552" s="15" t="s">
        <v>307</v>
      </c>
      <c r="C552" s="15" t="s">
        <v>188</v>
      </c>
      <c r="D552" s="15" t="s">
        <v>187</v>
      </c>
      <c r="H552" s="7">
        <v>12</v>
      </c>
      <c r="I552" s="7">
        <v>6</v>
      </c>
      <c r="J552" s="8">
        <f t="shared" si="8"/>
        <v>0.66666666666666663</v>
      </c>
      <c r="K552" s="7" t="s">
        <v>30</v>
      </c>
      <c r="L552" s="7" t="s">
        <v>30</v>
      </c>
      <c r="M552" s="7" t="s">
        <v>30</v>
      </c>
      <c r="T552" s="15" t="s">
        <v>188</v>
      </c>
    </row>
    <row r="553" spans="1:20" x14ac:dyDescent="0.25">
      <c r="A553" s="7" t="s">
        <v>306</v>
      </c>
      <c r="B553" s="7" t="s">
        <v>151</v>
      </c>
      <c r="C553" s="7" t="s">
        <v>265</v>
      </c>
      <c r="D553" s="7" t="s">
        <v>154</v>
      </c>
      <c r="H553" s="7">
        <v>6</v>
      </c>
      <c r="I553" s="7">
        <v>4</v>
      </c>
      <c r="J553" s="8">
        <f t="shared" si="8"/>
        <v>0.6</v>
      </c>
      <c r="K553" s="8" t="s">
        <v>30</v>
      </c>
      <c r="L553" s="8" t="s">
        <v>30</v>
      </c>
      <c r="M553" s="8" t="s">
        <v>30</v>
      </c>
      <c r="N553" s="8" t="s">
        <v>30</v>
      </c>
      <c r="O553" s="11"/>
      <c r="P553" s="7">
        <v>2</v>
      </c>
      <c r="Q553" s="7">
        <v>0</v>
      </c>
      <c r="R553" s="7">
        <v>2</v>
      </c>
      <c r="S553" s="7">
        <v>0</v>
      </c>
      <c r="T553" s="7" t="s">
        <v>177</v>
      </c>
    </row>
    <row r="554" spans="1:20" x14ac:dyDescent="0.25">
      <c r="A554" s="7" t="s">
        <v>306</v>
      </c>
      <c r="B554" s="7" t="s">
        <v>151</v>
      </c>
      <c r="C554" s="7" t="s">
        <v>581</v>
      </c>
      <c r="D554" s="7" t="s">
        <v>154</v>
      </c>
      <c r="H554" s="7">
        <v>8</v>
      </c>
      <c r="I554" s="7">
        <v>2</v>
      </c>
      <c r="J554" s="8">
        <f t="shared" si="8"/>
        <v>0.8</v>
      </c>
      <c r="K554" s="8" t="s">
        <v>30</v>
      </c>
      <c r="L554" s="8"/>
      <c r="M554" s="8"/>
      <c r="N554" s="8"/>
      <c r="O554" s="11"/>
      <c r="P554" s="7">
        <v>0</v>
      </c>
      <c r="Q554" s="7">
        <v>2</v>
      </c>
      <c r="T554" s="7" t="s">
        <v>581</v>
      </c>
    </row>
    <row r="555" spans="1:20" x14ac:dyDescent="0.25">
      <c r="A555" s="7" t="s">
        <v>306</v>
      </c>
      <c r="B555" s="7" t="s">
        <v>151</v>
      </c>
      <c r="C555" s="7" t="s">
        <v>155</v>
      </c>
      <c r="D555" s="7" t="s">
        <v>154</v>
      </c>
      <c r="H555" s="7">
        <v>7</v>
      </c>
      <c r="I555" s="7">
        <v>3</v>
      </c>
      <c r="J555" s="8">
        <f t="shared" si="8"/>
        <v>0.7</v>
      </c>
      <c r="K555" s="8" t="s">
        <v>30</v>
      </c>
      <c r="L555" s="8" t="s">
        <v>30</v>
      </c>
      <c r="M555" s="8"/>
      <c r="N555" s="8"/>
      <c r="O555" s="11"/>
      <c r="P555" s="7">
        <v>2</v>
      </c>
      <c r="Q555" s="7">
        <v>0</v>
      </c>
      <c r="R555" s="7">
        <v>1</v>
      </c>
      <c r="S555" s="7">
        <v>2</v>
      </c>
      <c r="T555" s="7" t="s">
        <v>155</v>
      </c>
    </row>
    <row r="556" spans="1:20" x14ac:dyDescent="0.25">
      <c r="A556" s="7" t="s">
        <v>306</v>
      </c>
      <c r="B556" s="7" t="s">
        <v>151</v>
      </c>
      <c r="C556" s="7" t="s">
        <v>149</v>
      </c>
      <c r="D556" s="7" t="s">
        <v>152</v>
      </c>
      <c r="H556" s="7">
        <v>7</v>
      </c>
      <c r="I556" s="7">
        <v>3</v>
      </c>
      <c r="J556" s="8">
        <f t="shared" si="8"/>
        <v>0.7</v>
      </c>
      <c r="K556" s="8" t="s">
        <v>30</v>
      </c>
      <c r="L556" s="8" t="s">
        <v>30</v>
      </c>
      <c r="M556" s="8"/>
      <c r="N556" s="8"/>
      <c r="O556" s="11"/>
      <c r="P556" s="7">
        <v>2</v>
      </c>
      <c r="Q556" s="7">
        <v>0</v>
      </c>
      <c r="R556" s="7">
        <v>0</v>
      </c>
      <c r="S556" s="7">
        <v>2</v>
      </c>
      <c r="T556" s="7" t="s">
        <v>149</v>
      </c>
    </row>
    <row r="557" spans="1:20" x14ac:dyDescent="0.25">
      <c r="A557" s="7" t="s">
        <v>306</v>
      </c>
      <c r="B557" s="7" t="s">
        <v>151</v>
      </c>
      <c r="C557" s="7" t="s">
        <v>242</v>
      </c>
      <c r="D557" s="7" t="s">
        <v>243</v>
      </c>
      <c r="H557" s="7">
        <v>7</v>
      </c>
      <c r="I557" s="7">
        <v>3</v>
      </c>
      <c r="J557" s="8">
        <f t="shared" si="8"/>
        <v>0.7</v>
      </c>
      <c r="K557" s="8" t="s">
        <v>30</v>
      </c>
      <c r="L557" s="8" t="s">
        <v>30</v>
      </c>
      <c r="M557" s="8"/>
      <c r="N557" s="8"/>
      <c r="O557" s="11"/>
      <c r="P557" s="7">
        <v>2</v>
      </c>
      <c r="Q557" s="7">
        <v>1</v>
      </c>
      <c r="R557" s="7">
        <v>0</v>
      </c>
      <c r="S557" s="7">
        <v>2</v>
      </c>
      <c r="T557" s="7" t="s">
        <v>241</v>
      </c>
    </row>
    <row r="558" spans="1:20" x14ac:dyDescent="0.25">
      <c r="A558" s="7" t="s">
        <v>306</v>
      </c>
      <c r="B558" s="7" t="s">
        <v>151</v>
      </c>
      <c r="C558" s="7" t="s">
        <v>309</v>
      </c>
      <c r="D558" s="7" t="s">
        <v>152</v>
      </c>
      <c r="H558" s="7">
        <v>7</v>
      </c>
      <c r="I558" s="7">
        <v>3</v>
      </c>
      <c r="J558" s="8">
        <f t="shared" si="8"/>
        <v>0.7</v>
      </c>
      <c r="K558" s="8" t="s">
        <v>30</v>
      </c>
      <c r="L558" s="8"/>
      <c r="M558" s="8"/>
      <c r="N558" s="8"/>
      <c r="O558" s="11"/>
      <c r="P558" s="7">
        <v>1</v>
      </c>
      <c r="Q558" s="7">
        <v>2</v>
      </c>
      <c r="T558" s="7" t="s">
        <v>309</v>
      </c>
    </row>
    <row r="559" spans="1:20" x14ac:dyDescent="0.25">
      <c r="A559" s="7" t="s">
        <v>306</v>
      </c>
      <c r="B559" s="7" t="s">
        <v>151</v>
      </c>
      <c r="C559" s="7" t="s">
        <v>302</v>
      </c>
      <c r="D559" s="7" t="s">
        <v>152</v>
      </c>
      <c r="H559" s="7">
        <v>7</v>
      </c>
      <c r="I559" s="7">
        <v>3</v>
      </c>
      <c r="J559" s="8">
        <f t="shared" si="8"/>
        <v>0.7</v>
      </c>
      <c r="K559" s="8" t="s">
        <v>30</v>
      </c>
      <c r="L559" s="8"/>
      <c r="M559" s="8"/>
      <c r="N559" s="8"/>
      <c r="O559" s="11"/>
      <c r="P559" s="7">
        <v>0</v>
      </c>
      <c r="Q559" s="7">
        <v>2</v>
      </c>
      <c r="T559" s="7" t="s">
        <v>302</v>
      </c>
    </row>
    <row r="560" spans="1:20" x14ac:dyDescent="0.25">
      <c r="A560" s="7" t="s">
        <v>306</v>
      </c>
      <c r="B560" s="7" t="s">
        <v>151</v>
      </c>
      <c r="C560" s="7" t="s">
        <v>197</v>
      </c>
      <c r="D560" s="7" t="s">
        <v>198</v>
      </c>
      <c r="H560" s="7">
        <v>7</v>
      </c>
      <c r="I560" s="7">
        <v>3</v>
      </c>
      <c r="J560" s="8">
        <f t="shared" si="8"/>
        <v>0.7</v>
      </c>
      <c r="K560" s="8" t="s">
        <v>30</v>
      </c>
      <c r="L560" s="8"/>
      <c r="M560" s="8"/>
      <c r="N560" s="8"/>
      <c r="O560" s="11"/>
      <c r="P560" s="7">
        <v>0</v>
      </c>
      <c r="Q560" s="7">
        <v>2</v>
      </c>
      <c r="T560" s="7" t="s">
        <v>197</v>
      </c>
    </row>
    <row r="561" spans="1:20" x14ac:dyDescent="0.25">
      <c r="A561" s="15" t="s">
        <v>306</v>
      </c>
      <c r="B561" s="15" t="s">
        <v>307</v>
      </c>
      <c r="C561" s="15" t="s">
        <v>310</v>
      </c>
      <c r="D561" s="15" t="s">
        <v>215</v>
      </c>
      <c r="H561" s="7">
        <v>12</v>
      </c>
      <c r="I561" s="7">
        <v>6</v>
      </c>
      <c r="J561" s="8">
        <f t="shared" si="8"/>
        <v>0.66666666666666663</v>
      </c>
      <c r="K561" s="7" t="s">
        <v>30</v>
      </c>
      <c r="L561" s="7" t="s">
        <v>30</v>
      </c>
      <c r="T561" s="15" t="s">
        <v>310</v>
      </c>
    </row>
    <row r="562" spans="1:20" x14ac:dyDescent="0.25">
      <c r="A562" s="15" t="s">
        <v>306</v>
      </c>
      <c r="B562" s="15" t="s">
        <v>307</v>
      </c>
      <c r="C562" s="15" t="s">
        <v>311</v>
      </c>
      <c r="D562" s="15" t="s">
        <v>157</v>
      </c>
      <c r="H562" s="7">
        <v>11</v>
      </c>
      <c r="I562" s="7">
        <v>7</v>
      </c>
      <c r="J562" s="8">
        <f t="shared" si="8"/>
        <v>0.61111111111111116</v>
      </c>
      <c r="K562" s="7" t="s">
        <v>30</v>
      </c>
      <c r="T562" s="15" t="s">
        <v>311</v>
      </c>
    </row>
    <row r="563" spans="1:20" x14ac:dyDescent="0.25">
      <c r="A563" s="15" t="s">
        <v>306</v>
      </c>
      <c r="B563" s="15" t="s">
        <v>307</v>
      </c>
      <c r="C563" s="14" t="s">
        <v>174</v>
      </c>
      <c r="D563" s="15" t="s">
        <v>312</v>
      </c>
      <c r="H563" s="7">
        <v>11</v>
      </c>
      <c r="I563" s="7">
        <v>7</v>
      </c>
      <c r="J563" s="8">
        <f t="shared" si="8"/>
        <v>0.61111111111111116</v>
      </c>
      <c r="K563" s="7" t="s">
        <v>30</v>
      </c>
      <c r="T563" s="14" t="s">
        <v>174</v>
      </c>
    </row>
    <row r="564" spans="1:20" x14ac:dyDescent="0.25">
      <c r="A564" s="7" t="s">
        <v>306</v>
      </c>
      <c r="B564" s="7" t="s">
        <v>151</v>
      </c>
      <c r="C564" s="7" t="s">
        <v>278</v>
      </c>
      <c r="D564" s="7" t="s">
        <v>171</v>
      </c>
      <c r="H564" s="7">
        <v>6</v>
      </c>
      <c r="I564" s="7">
        <v>4</v>
      </c>
      <c r="J564" s="8">
        <f t="shared" si="8"/>
        <v>0.6</v>
      </c>
      <c r="K564" s="8" t="s">
        <v>30</v>
      </c>
      <c r="L564" s="8" t="s">
        <v>30</v>
      </c>
      <c r="M564" s="8"/>
      <c r="N564" s="8"/>
      <c r="O564" s="11"/>
      <c r="P564" s="7">
        <v>2</v>
      </c>
      <c r="Q564" s="7">
        <v>0</v>
      </c>
      <c r="R564" s="7">
        <v>1</v>
      </c>
      <c r="S564" s="7">
        <v>2</v>
      </c>
      <c r="T564" s="7" t="s">
        <v>278</v>
      </c>
    </row>
    <row r="565" spans="1:20" x14ac:dyDescent="0.25">
      <c r="A565" s="7" t="s">
        <v>306</v>
      </c>
      <c r="B565" s="7" t="s">
        <v>151</v>
      </c>
      <c r="C565" s="7" t="s">
        <v>313</v>
      </c>
      <c r="D565" s="7" t="s">
        <v>171</v>
      </c>
      <c r="H565" s="7">
        <v>6</v>
      </c>
      <c r="I565" s="7">
        <v>4</v>
      </c>
      <c r="J565" s="8">
        <f t="shared" si="8"/>
        <v>0.6</v>
      </c>
      <c r="K565" s="8" t="s">
        <v>30</v>
      </c>
      <c r="L565" s="8"/>
      <c r="M565" s="8"/>
      <c r="N565" s="8"/>
      <c r="O565" s="11"/>
      <c r="P565" s="7">
        <v>0</v>
      </c>
      <c r="Q565" s="7">
        <v>2</v>
      </c>
      <c r="T565" s="7" t="s">
        <v>313</v>
      </c>
    </row>
    <row r="566" spans="1:20" x14ac:dyDescent="0.25">
      <c r="A566" s="7" t="s">
        <v>306</v>
      </c>
      <c r="B566" s="7" t="s">
        <v>151</v>
      </c>
      <c r="C566" s="7" t="s">
        <v>158</v>
      </c>
      <c r="D566" s="7" t="s">
        <v>159</v>
      </c>
      <c r="H566" s="7">
        <v>6</v>
      </c>
      <c r="I566" s="7">
        <v>4</v>
      </c>
      <c r="J566" s="8">
        <f t="shared" si="8"/>
        <v>0.6</v>
      </c>
      <c r="K566" s="8" t="s">
        <v>30</v>
      </c>
      <c r="L566" s="8"/>
      <c r="M566" s="8"/>
      <c r="N566" s="8"/>
      <c r="O566" s="11"/>
      <c r="P566" s="7">
        <v>0</v>
      </c>
      <c r="Q566" s="7">
        <v>2</v>
      </c>
      <c r="T566" s="7" t="s">
        <v>158</v>
      </c>
    </row>
    <row r="567" spans="1:20" x14ac:dyDescent="0.25">
      <c r="A567" s="15" t="s">
        <v>306</v>
      </c>
      <c r="B567" s="15" t="s">
        <v>307</v>
      </c>
      <c r="C567" s="15" t="s">
        <v>314</v>
      </c>
      <c r="D567" s="15" t="s">
        <v>152</v>
      </c>
      <c r="H567" s="7">
        <v>10</v>
      </c>
      <c r="I567" s="7">
        <v>8</v>
      </c>
      <c r="J567" s="8">
        <f t="shared" si="8"/>
        <v>0.55555555555555558</v>
      </c>
      <c r="K567" s="7" t="s">
        <v>30</v>
      </c>
      <c r="T567" s="15" t="s">
        <v>314</v>
      </c>
    </row>
    <row r="568" spans="1:20" x14ac:dyDescent="0.25">
      <c r="A568" s="15" t="s">
        <v>306</v>
      </c>
      <c r="B568" s="15" t="s">
        <v>307</v>
      </c>
      <c r="C568" s="14" t="s">
        <v>179</v>
      </c>
      <c r="D568" s="15" t="s">
        <v>164</v>
      </c>
      <c r="H568" s="7">
        <v>9</v>
      </c>
      <c r="I568" s="7">
        <v>9</v>
      </c>
      <c r="J568" s="8">
        <f t="shared" si="8"/>
        <v>0.5</v>
      </c>
      <c r="K568" s="7" t="s">
        <v>30</v>
      </c>
      <c r="L568" s="7" t="s">
        <v>30</v>
      </c>
      <c r="T568" s="14" t="s">
        <v>179</v>
      </c>
    </row>
    <row r="569" spans="1:20" x14ac:dyDescent="0.25">
      <c r="A569" s="15" t="s">
        <v>306</v>
      </c>
      <c r="B569" s="15" t="s">
        <v>307</v>
      </c>
      <c r="C569" s="14" t="s">
        <v>280</v>
      </c>
      <c r="D569" s="15" t="s">
        <v>164</v>
      </c>
      <c r="H569" s="7">
        <v>9</v>
      </c>
      <c r="I569" s="7">
        <v>9</v>
      </c>
      <c r="J569" s="8">
        <f t="shared" si="8"/>
        <v>0.5</v>
      </c>
      <c r="K569" s="7" t="s">
        <v>30</v>
      </c>
      <c r="T569" s="14" t="s">
        <v>279</v>
      </c>
    </row>
    <row r="570" spans="1:20" x14ac:dyDescent="0.25">
      <c r="A570" s="15" t="s">
        <v>306</v>
      </c>
      <c r="B570" s="15" t="s">
        <v>307</v>
      </c>
      <c r="C570" s="15" t="s">
        <v>181</v>
      </c>
      <c r="D570" s="15" t="s">
        <v>173</v>
      </c>
      <c r="H570" s="7">
        <v>9</v>
      </c>
      <c r="I570" s="7">
        <v>9</v>
      </c>
      <c r="J570" s="8">
        <f t="shared" si="8"/>
        <v>0.5</v>
      </c>
      <c r="K570" s="7" t="s">
        <v>30</v>
      </c>
      <c r="L570" s="7" t="s">
        <v>30</v>
      </c>
      <c r="T570" s="15" t="s">
        <v>181</v>
      </c>
    </row>
    <row r="571" spans="1:20" x14ac:dyDescent="0.25">
      <c r="A571" s="15" t="s">
        <v>306</v>
      </c>
      <c r="B571" s="15" t="s">
        <v>307</v>
      </c>
      <c r="C571" s="15" t="s">
        <v>315</v>
      </c>
      <c r="D571" s="15" t="s">
        <v>171</v>
      </c>
      <c r="H571" s="7">
        <v>9</v>
      </c>
      <c r="I571" s="7">
        <v>9</v>
      </c>
      <c r="J571" s="8">
        <f t="shared" si="8"/>
        <v>0.5</v>
      </c>
      <c r="K571" s="7" t="s">
        <v>30</v>
      </c>
      <c r="L571" s="7" t="s">
        <v>30</v>
      </c>
      <c r="T571" s="15" t="s">
        <v>288</v>
      </c>
    </row>
    <row r="572" spans="1:20" x14ac:dyDescent="0.25">
      <c r="A572" s="15" t="s">
        <v>306</v>
      </c>
      <c r="B572" s="15" t="s">
        <v>307</v>
      </c>
      <c r="C572" s="14" t="s">
        <v>301</v>
      </c>
      <c r="D572" s="15" t="s">
        <v>251</v>
      </c>
      <c r="H572" s="7">
        <v>8</v>
      </c>
      <c r="I572" s="7">
        <v>10</v>
      </c>
      <c r="J572" s="8">
        <f t="shared" si="8"/>
        <v>0.44444444444444442</v>
      </c>
      <c r="K572" s="7" t="s">
        <v>30</v>
      </c>
      <c r="T572" s="14" t="s">
        <v>301</v>
      </c>
    </row>
    <row r="573" spans="1:20" x14ac:dyDescent="0.25">
      <c r="A573" s="7" t="s">
        <v>306</v>
      </c>
      <c r="B573" s="7" t="s">
        <v>151</v>
      </c>
      <c r="C573" s="7" t="s">
        <v>293</v>
      </c>
      <c r="D573" s="7" t="s">
        <v>154</v>
      </c>
      <c r="H573" s="7">
        <v>4</v>
      </c>
      <c r="I573" s="7">
        <v>6</v>
      </c>
      <c r="J573" s="8">
        <f t="shared" si="8"/>
        <v>0.4</v>
      </c>
      <c r="K573" s="8" t="s">
        <v>30</v>
      </c>
      <c r="L573" s="8"/>
      <c r="M573" s="8"/>
      <c r="N573" s="8"/>
      <c r="O573" s="11"/>
      <c r="P573" s="7">
        <v>0</v>
      </c>
      <c r="Q573" s="7">
        <v>2</v>
      </c>
      <c r="T573" s="7" t="s">
        <v>292</v>
      </c>
    </row>
    <row r="574" spans="1:20" x14ac:dyDescent="0.25">
      <c r="A574" s="15" t="s">
        <v>306</v>
      </c>
      <c r="B574" s="15" t="s">
        <v>307</v>
      </c>
      <c r="C574" s="14" t="s">
        <v>235</v>
      </c>
      <c r="D574" s="15" t="s">
        <v>159</v>
      </c>
      <c r="H574" s="7">
        <v>7</v>
      </c>
      <c r="I574" s="7">
        <v>11</v>
      </c>
      <c r="J574" s="8">
        <f t="shared" si="8"/>
        <v>0.3888888888888889</v>
      </c>
      <c r="K574" s="7" t="s">
        <v>30</v>
      </c>
      <c r="T574" s="14" t="s">
        <v>234</v>
      </c>
    </row>
    <row r="575" spans="1:20" x14ac:dyDescent="0.25">
      <c r="A575" s="15" t="s">
        <v>306</v>
      </c>
      <c r="B575" s="15" t="s">
        <v>307</v>
      </c>
      <c r="C575" s="14" t="s">
        <v>296</v>
      </c>
      <c r="D575" s="15" t="s">
        <v>220</v>
      </c>
      <c r="H575" s="7">
        <v>7</v>
      </c>
      <c r="I575" s="7">
        <v>11</v>
      </c>
      <c r="J575" s="8">
        <f t="shared" si="8"/>
        <v>0.3888888888888889</v>
      </c>
      <c r="K575" s="7" t="s">
        <v>30</v>
      </c>
      <c r="T575" s="14" t="s">
        <v>296</v>
      </c>
    </row>
    <row r="576" spans="1:20" x14ac:dyDescent="0.25">
      <c r="A576" s="15" t="s">
        <v>306</v>
      </c>
      <c r="B576" s="15" t="s">
        <v>307</v>
      </c>
      <c r="C576" s="14" t="s">
        <v>297</v>
      </c>
      <c r="D576" s="15" t="s">
        <v>243</v>
      </c>
      <c r="H576" s="7">
        <v>7</v>
      </c>
      <c r="I576" s="7">
        <v>11</v>
      </c>
      <c r="J576" s="8">
        <f t="shared" si="8"/>
        <v>0.3888888888888889</v>
      </c>
      <c r="K576" s="7" t="s">
        <v>30</v>
      </c>
      <c r="T576" s="14" t="s">
        <v>297</v>
      </c>
    </row>
    <row r="577" spans="1:20" x14ac:dyDescent="0.25">
      <c r="A577" s="7" t="s">
        <v>306</v>
      </c>
      <c r="B577" s="7" t="s">
        <v>151</v>
      </c>
      <c r="C577" s="7" t="s">
        <v>257</v>
      </c>
      <c r="D577" s="7" t="s">
        <v>215</v>
      </c>
      <c r="H577" s="7">
        <v>3</v>
      </c>
      <c r="I577" s="7">
        <v>7</v>
      </c>
      <c r="J577" s="8">
        <f t="shared" si="8"/>
        <v>0.3</v>
      </c>
      <c r="K577" s="8" t="s">
        <v>30</v>
      </c>
      <c r="L577" s="8"/>
      <c r="M577" s="8"/>
      <c r="N577" s="8"/>
      <c r="O577" s="11"/>
      <c r="P577" s="7">
        <v>0</v>
      </c>
      <c r="Q577" s="7">
        <v>2</v>
      </c>
      <c r="T577" s="7" t="s">
        <v>257</v>
      </c>
    </row>
    <row r="578" spans="1:20" x14ac:dyDescent="0.25">
      <c r="A578" s="15" t="s">
        <v>306</v>
      </c>
      <c r="B578" s="15" t="s">
        <v>307</v>
      </c>
      <c r="C578" s="15" t="s">
        <v>316</v>
      </c>
      <c r="D578" s="15" t="s">
        <v>173</v>
      </c>
      <c r="H578" s="7">
        <v>6</v>
      </c>
      <c r="I578" s="7">
        <v>12</v>
      </c>
      <c r="J578" s="8">
        <f t="shared" ref="J578:J641" si="9">H578/SUM(H578:I578)</f>
        <v>0.33333333333333331</v>
      </c>
      <c r="T578" s="15" t="s">
        <v>316</v>
      </c>
    </row>
    <row r="579" spans="1:20" x14ac:dyDescent="0.25">
      <c r="A579" s="15" t="s">
        <v>306</v>
      </c>
      <c r="B579" s="15" t="s">
        <v>307</v>
      </c>
      <c r="C579" s="15" t="s">
        <v>230</v>
      </c>
      <c r="D579" s="15" t="s">
        <v>171</v>
      </c>
      <c r="H579" s="7">
        <v>6</v>
      </c>
      <c r="I579" s="7">
        <v>12</v>
      </c>
      <c r="J579" s="8">
        <f t="shared" si="9"/>
        <v>0.33333333333333331</v>
      </c>
      <c r="T579" s="15" t="s">
        <v>230</v>
      </c>
    </row>
    <row r="580" spans="1:20" x14ac:dyDescent="0.25">
      <c r="A580" s="7" t="s">
        <v>306</v>
      </c>
      <c r="B580" s="7" t="s">
        <v>151</v>
      </c>
      <c r="C580" s="7" t="s">
        <v>317</v>
      </c>
      <c r="D580" s="7" t="s">
        <v>161</v>
      </c>
      <c r="H580" s="7">
        <v>3</v>
      </c>
      <c r="I580" s="7">
        <v>7</v>
      </c>
      <c r="J580" s="8">
        <f t="shared" si="9"/>
        <v>0.3</v>
      </c>
      <c r="K580" s="8"/>
      <c r="L580" s="8"/>
      <c r="M580" s="8"/>
      <c r="N580" s="8"/>
      <c r="O580" s="11"/>
      <c r="T580" s="7" t="s">
        <v>317</v>
      </c>
    </row>
    <row r="581" spans="1:20" x14ac:dyDescent="0.25">
      <c r="A581" s="7" t="s">
        <v>306</v>
      </c>
      <c r="B581" s="7" t="s">
        <v>151</v>
      </c>
      <c r="C581" s="7" t="s">
        <v>318</v>
      </c>
      <c r="D581" s="7" t="s">
        <v>319</v>
      </c>
      <c r="H581" s="7">
        <v>3</v>
      </c>
      <c r="I581" s="7">
        <v>7</v>
      </c>
      <c r="J581" s="8">
        <f t="shared" si="9"/>
        <v>0.3</v>
      </c>
      <c r="K581" s="8"/>
      <c r="L581" s="8"/>
      <c r="M581" s="8"/>
      <c r="N581" s="8"/>
      <c r="O581" s="11"/>
      <c r="T581" s="7" t="s">
        <v>318</v>
      </c>
    </row>
    <row r="582" spans="1:20" x14ac:dyDescent="0.25">
      <c r="A582" s="15" t="s">
        <v>306</v>
      </c>
      <c r="B582" s="15" t="s">
        <v>307</v>
      </c>
      <c r="C582" s="15" t="s">
        <v>320</v>
      </c>
      <c r="D582" s="15" t="s">
        <v>161</v>
      </c>
      <c r="H582" s="7">
        <v>4</v>
      </c>
      <c r="I582" s="7">
        <v>14</v>
      </c>
      <c r="J582" s="8">
        <f t="shared" si="9"/>
        <v>0.22222222222222221</v>
      </c>
      <c r="T582" s="15" t="s">
        <v>320</v>
      </c>
    </row>
    <row r="583" spans="1:20" x14ac:dyDescent="0.25">
      <c r="A583" s="7" t="s">
        <v>306</v>
      </c>
      <c r="B583" s="7" t="s">
        <v>151</v>
      </c>
      <c r="C583" s="7" t="s">
        <v>250</v>
      </c>
      <c r="D583" s="7" t="s">
        <v>251</v>
      </c>
      <c r="H583" s="7">
        <v>2</v>
      </c>
      <c r="I583" s="7">
        <v>8</v>
      </c>
      <c r="J583" s="8">
        <f t="shared" si="9"/>
        <v>0.2</v>
      </c>
      <c r="K583" s="8"/>
      <c r="L583" s="8"/>
      <c r="M583" s="8"/>
      <c r="N583" s="8"/>
      <c r="O583" s="11"/>
      <c r="T583" s="7" t="s">
        <v>250</v>
      </c>
    </row>
    <row r="584" spans="1:20" x14ac:dyDescent="0.25">
      <c r="A584" s="7" t="s">
        <v>306</v>
      </c>
      <c r="B584" s="7" t="s">
        <v>151</v>
      </c>
      <c r="C584" s="7" t="s">
        <v>303</v>
      </c>
      <c r="D584" s="7" t="s">
        <v>215</v>
      </c>
      <c r="H584" s="7">
        <v>2</v>
      </c>
      <c r="I584" s="7">
        <v>8</v>
      </c>
      <c r="J584" s="8">
        <f t="shared" si="9"/>
        <v>0.2</v>
      </c>
      <c r="K584" s="8"/>
      <c r="L584" s="8"/>
      <c r="M584" s="8"/>
      <c r="N584" s="8"/>
      <c r="O584" s="11"/>
      <c r="T584" s="7" t="s">
        <v>303</v>
      </c>
    </row>
    <row r="585" spans="1:20" x14ac:dyDescent="0.25">
      <c r="A585" s="7" t="s">
        <v>306</v>
      </c>
      <c r="B585" s="7" t="s">
        <v>151</v>
      </c>
      <c r="C585" s="7" t="s">
        <v>321</v>
      </c>
      <c r="D585" s="7" t="s">
        <v>187</v>
      </c>
      <c r="H585" s="7">
        <v>2</v>
      </c>
      <c r="I585" s="7">
        <v>8</v>
      </c>
      <c r="J585" s="8">
        <f t="shared" si="9"/>
        <v>0.2</v>
      </c>
      <c r="K585" s="8"/>
      <c r="L585" s="8"/>
      <c r="M585" s="8"/>
      <c r="N585" s="8"/>
      <c r="O585" s="11"/>
      <c r="T585" s="7" t="s">
        <v>321</v>
      </c>
    </row>
    <row r="586" spans="1:20" x14ac:dyDescent="0.25">
      <c r="A586" s="15" t="s">
        <v>306</v>
      </c>
      <c r="B586" s="15" t="s">
        <v>307</v>
      </c>
      <c r="C586" s="15" t="s">
        <v>323</v>
      </c>
      <c r="D586" s="15" t="s">
        <v>324</v>
      </c>
      <c r="H586" s="7">
        <v>2</v>
      </c>
      <c r="I586" s="7">
        <v>16</v>
      </c>
      <c r="J586" s="8">
        <f t="shared" si="9"/>
        <v>0.1111111111111111</v>
      </c>
      <c r="T586" s="15" t="s">
        <v>322</v>
      </c>
    </row>
    <row r="587" spans="1:20" x14ac:dyDescent="0.25">
      <c r="A587" s="7" t="s">
        <v>306</v>
      </c>
      <c r="B587" s="7" t="s">
        <v>151</v>
      </c>
      <c r="C587" s="7" t="s">
        <v>291</v>
      </c>
      <c r="D587" s="7" t="s">
        <v>173</v>
      </c>
      <c r="H587" s="7">
        <v>1</v>
      </c>
      <c r="I587" s="7">
        <v>9</v>
      </c>
      <c r="J587" s="8">
        <f t="shared" si="9"/>
        <v>0.1</v>
      </c>
      <c r="K587" s="8"/>
      <c r="L587" s="8"/>
      <c r="M587" s="8"/>
      <c r="N587" s="8"/>
      <c r="O587" s="11"/>
      <c r="T587" s="7" t="s">
        <v>290</v>
      </c>
    </row>
    <row r="588" spans="1:20" x14ac:dyDescent="0.25">
      <c r="A588" s="7" t="s">
        <v>306</v>
      </c>
      <c r="B588" s="7" t="s">
        <v>151</v>
      </c>
      <c r="C588" s="7" t="s">
        <v>304</v>
      </c>
      <c r="D588" s="7" t="s">
        <v>305</v>
      </c>
      <c r="H588" s="7">
        <v>1</v>
      </c>
      <c r="I588" s="7">
        <v>9</v>
      </c>
      <c r="J588" s="8">
        <f t="shared" si="9"/>
        <v>0.1</v>
      </c>
      <c r="K588" s="8"/>
      <c r="L588" s="8"/>
      <c r="M588" s="8"/>
      <c r="N588" s="8"/>
      <c r="O588" s="11"/>
      <c r="T588" s="7" t="s">
        <v>304</v>
      </c>
    </row>
    <row r="589" spans="1:20" x14ac:dyDescent="0.25">
      <c r="A589" s="7" t="s">
        <v>306</v>
      </c>
      <c r="B589" s="7" t="s">
        <v>151</v>
      </c>
      <c r="C589" s="7" t="s">
        <v>325</v>
      </c>
      <c r="D589" s="7" t="s">
        <v>326</v>
      </c>
      <c r="H589" s="7">
        <v>0</v>
      </c>
      <c r="I589" s="7">
        <v>10</v>
      </c>
      <c r="J589" s="8">
        <f t="shared" si="9"/>
        <v>0</v>
      </c>
      <c r="K589" s="8"/>
      <c r="L589" s="8"/>
      <c r="M589" s="8"/>
      <c r="N589" s="8"/>
      <c r="O589" s="11"/>
      <c r="T589" s="7" t="s">
        <v>325</v>
      </c>
    </row>
    <row r="590" spans="1:20" x14ac:dyDescent="0.25">
      <c r="A590" s="15" t="s">
        <v>327</v>
      </c>
      <c r="B590" s="15" t="s">
        <v>328</v>
      </c>
      <c r="C590" s="14" t="s">
        <v>162</v>
      </c>
      <c r="D590" s="15" t="s">
        <v>152</v>
      </c>
      <c r="H590" s="7">
        <v>9</v>
      </c>
      <c r="I590" s="7">
        <v>1</v>
      </c>
      <c r="J590" s="8">
        <f t="shared" si="9"/>
        <v>0.9</v>
      </c>
      <c r="K590" s="7" t="s">
        <v>30</v>
      </c>
      <c r="L590" s="7" t="s">
        <v>30</v>
      </c>
      <c r="M590" s="7" t="s">
        <v>30</v>
      </c>
      <c r="N590" s="7" t="s">
        <v>30</v>
      </c>
      <c r="O590" s="16" t="s">
        <v>30</v>
      </c>
      <c r="P590" s="7">
        <v>13</v>
      </c>
      <c r="Q590" s="7">
        <v>3</v>
      </c>
      <c r="T590" s="15" t="s">
        <v>162</v>
      </c>
    </row>
    <row r="591" spans="1:20" x14ac:dyDescent="0.25">
      <c r="A591" s="15" t="s">
        <v>327</v>
      </c>
      <c r="B591" s="15" t="s">
        <v>328</v>
      </c>
      <c r="C591" s="14" t="s">
        <v>581</v>
      </c>
      <c r="D591" s="15" t="s">
        <v>154</v>
      </c>
      <c r="H591" s="7">
        <v>9</v>
      </c>
      <c r="I591" s="7">
        <v>1</v>
      </c>
      <c r="J591" s="8">
        <f t="shared" si="9"/>
        <v>0.9</v>
      </c>
      <c r="K591" s="7" t="s">
        <v>30</v>
      </c>
      <c r="L591" s="7" t="s">
        <v>30</v>
      </c>
      <c r="M591" s="7" t="s">
        <v>30</v>
      </c>
      <c r="P591" s="7">
        <v>12</v>
      </c>
      <c r="Q591" s="7">
        <v>4</v>
      </c>
      <c r="T591" s="14" t="s">
        <v>581</v>
      </c>
    </row>
    <row r="592" spans="1:20" x14ac:dyDescent="0.25">
      <c r="A592" s="15" t="s">
        <v>327</v>
      </c>
      <c r="B592" s="15" t="s">
        <v>328</v>
      </c>
      <c r="C592" s="14" t="s">
        <v>169</v>
      </c>
      <c r="D592" s="15" t="s">
        <v>161</v>
      </c>
      <c r="H592" s="7">
        <v>6</v>
      </c>
      <c r="I592" s="7">
        <v>4</v>
      </c>
      <c r="J592" s="8">
        <f t="shared" si="9"/>
        <v>0.6</v>
      </c>
      <c r="K592" s="7" t="s">
        <v>30</v>
      </c>
      <c r="L592" s="7" t="s">
        <v>30</v>
      </c>
      <c r="M592" s="7" t="s">
        <v>30</v>
      </c>
      <c r="N592" s="7" t="s">
        <v>30</v>
      </c>
      <c r="P592" s="7">
        <v>12</v>
      </c>
      <c r="Q592" s="7">
        <v>4</v>
      </c>
      <c r="T592" s="14" t="s">
        <v>169</v>
      </c>
    </row>
    <row r="593" spans="1:20" x14ac:dyDescent="0.25">
      <c r="A593" s="15" t="s">
        <v>327</v>
      </c>
      <c r="B593" s="15" t="s">
        <v>328</v>
      </c>
      <c r="C593" s="15" t="s">
        <v>308</v>
      </c>
      <c r="D593" s="15" t="s">
        <v>157</v>
      </c>
      <c r="H593" s="7">
        <v>6</v>
      </c>
      <c r="I593" s="7">
        <v>4</v>
      </c>
      <c r="J593" s="8">
        <f t="shared" si="9"/>
        <v>0.6</v>
      </c>
      <c r="K593" s="7" t="s">
        <v>30</v>
      </c>
      <c r="L593" s="7" t="s">
        <v>30</v>
      </c>
      <c r="M593" s="7" t="s">
        <v>30</v>
      </c>
      <c r="P593" s="7">
        <v>11</v>
      </c>
      <c r="Q593" s="7">
        <v>5</v>
      </c>
      <c r="T593" s="14" t="s">
        <v>178</v>
      </c>
    </row>
    <row r="594" spans="1:20" x14ac:dyDescent="0.25">
      <c r="A594" s="15" t="s">
        <v>327</v>
      </c>
      <c r="B594" s="15" t="s">
        <v>328</v>
      </c>
      <c r="C594" s="14" t="s">
        <v>179</v>
      </c>
      <c r="D594" s="15" t="s">
        <v>164</v>
      </c>
      <c r="H594" s="7">
        <v>8</v>
      </c>
      <c r="I594" s="7">
        <v>2</v>
      </c>
      <c r="J594" s="8">
        <f t="shared" si="9"/>
        <v>0.8</v>
      </c>
      <c r="K594" s="7" t="s">
        <v>30</v>
      </c>
      <c r="L594" s="7" t="s">
        <v>30</v>
      </c>
      <c r="P594" s="7">
        <v>11</v>
      </c>
      <c r="Q594" s="7">
        <v>5</v>
      </c>
      <c r="T594" s="14" t="s">
        <v>179</v>
      </c>
    </row>
    <row r="595" spans="1:20" x14ac:dyDescent="0.25">
      <c r="A595" s="15" t="s">
        <v>327</v>
      </c>
      <c r="B595" s="15" t="s">
        <v>328</v>
      </c>
      <c r="C595" s="15" t="s">
        <v>188</v>
      </c>
      <c r="D595" s="15" t="s">
        <v>187</v>
      </c>
      <c r="H595" s="7">
        <v>7</v>
      </c>
      <c r="I595" s="7">
        <v>3</v>
      </c>
      <c r="J595" s="8">
        <f t="shared" si="9"/>
        <v>0.7</v>
      </c>
      <c r="K595" s="7" t="s">
        <v>30</v>
      </c>
      <c r="P595" s="7">
        <v>9</v>
      </c>
      <c r="Q595" s="7">
        <v>7</v>
      </c>
      <c r="T595" s="15" t="s">
        <v>188</v>
      </c>
    </row>
    <row r="596" spans="1:20" x14ac:dyDescent="0.25">
      <c r="A596" s="15" t="s">
        <v>327</v>
      </c>
      <c r="B596" s="15" t="s">
        <v>328</v>
      </c>
      <c r="C596" s="14" t="s">
        <v>257</v>
      </c>
      <c r="D596" s="15" t="s">
        <v>215</v>
      </c>
      <c r="H596" s="7">
        <v>6</v>
      </c>
      <c r="I596" s="7">
        <v>4</v>
      </c>
      <c r="J596" s="8">
        <f t="shared" si="9"/>
        <v>0.6</v>
      </c>
      <c r="K596" s="7" t="s">
        <v>30</v>
      </c>
      <c r="L596" s="7" t="s">
        <v>30</v>
      </c>
      <c r="P596" s="7">
        <v>10</v>
      </c>
      <c r="Q596" s="7">
        <v>6</v>
      </c>
      <c r="T596" s="14" t="s">
        <v>257</v>
      </c>
    </row>
    <row r="597" spans="1:20" x14ac:dyDescent="0.25">
      <c r="A597" s="15" t="s">
        <v>327</v>
      </c>
      <c r="B597" s="15" t="s">
        <v>328</v>
      </c>
      <c r="C597" s="14" t="s">
        <v>149</v>
      </c>
      <c r="D597" s="15" t="s">
        <v>152</v>
      </c>
      <c r="H597" s="7">
        <v>6</v>
      </c>
      <c r="I597" s="7">
        <v>4</v>
      </c>
      <c r="J597" s="8">
        <f t="shared" si="9"/>
        <v>0.6</v>
      </c>
      <c r="K597" s="7" t="s">
        <v>30</v>
      </c>
      <c r="P597" s="7">
        <v>10</v>
      </c>
      <c r="Q597" s="7">
        <v>6</v>
      </c>
      <c r="T597" s="14" t="s">
        <v>149</v>
      </c>
    </row>
    <row r="598" spans="1:20" x14ac:dyDescent="0.25">
      <c r="A598" s="15" t="s">
        <v>327</v>
      </c>
      <c r="B598" s="15" t="s">
        <v>328</v>
      </c>
      <c r="C598" s="15" t="s">
        <v>329</v>
      </c>
      <c r="D598" s="15" t="s">
        <v>171</v>
      </c>
      <c r="H598" s="7">
        <v>6</v>
      </c>
      <c r="I598" s="7">
        <v>4</v>
      </c>
      <c r="J598" s="8">
        <f t="shared" si="9"/>
        <v>0.6</v>
      </c>
      <c r="K598" s="7" t="s">
        <v>30</v>
      </c>
      <c r="L598" s="7" t="s">
        <v>30</v>
      </c>
      <c r="P598" s="7">
        <v>10</v>
      </c>
      <c r="Q598" s="7">
        <v>6</v>
      </c>
      <c r="T598" s="15" t="s">
        <v>295</v>
      </c>
    </row>
    <row r="599" spans="1:20" x14ac:dyDescent="0.25">
      <c r="A599" s="15" t="s">
        <v>327</v>
      </c>
      <c r="B599" s="15" t="s">
        <v>328</v>
      </c>
      <c r="C599" s="15" t="s">
        <v>278</v>
      </c>
      <c r="D599" s="15" t="s">
        <v>171</v>
      </c>
      <c r="H599" s="7">
        <v>6</v>
      </c>
      <c r="I599" s="7">
        <v>4</v>
      </c>
      <c r="J599" s="8">
        <f t="shared" si="9"/>
        <v>0.6</v>
      </c>
      <c r="K599" s="7" t="s">
        <v>30</v>
      </c>
      <c r="P599" s="7">
        <v>9</v>
      </c>
      <c r="Q599" s="7">
        <v>7</v>
      </c>
      <c r="T599" s="15" t="s">
        <v>278</v>
      </c>
    </row>
    <row r="600" spans="1:20" x14ac:dyDescent="0.25">
      <c r="A600" s="15" t="s">
        <v>327</v>
      </c>
      <c r="B600" s="15" t="s">
        <v>328</v>
      </c>
      <c r="C600" s="15" t="s">
        <v>330</v>
      </c>
      <c r="D600" s="15" t="s">
        <v>243</v>
      </c>
      <c r="H600" s="7">
        <v>5</v>
      </c>
      <c r="I600" s="7">
        <v>5</v>
      </c>
      <c r="J600" s="8">
        <f t="shared" si="9"/>
        <v>0.5</v>
      </c>
      <c r="K600" s="7" t="s">
        <v>30</v>
      </c>
      <c r="L600" s="7" t="s">
        <v>30</v>
      </c>
      <c r="P600" s="7">
        <v>10</v>
      </c>
      <c r="Q600" s="7">
        <v>6</v>
      </c>
      <c r="T600" s="15" t="s">
        <v>241</v>
      </c>
    </row>
    <row r="601" spans="1:20" x14ac:dyDescent="0.25">
      <c r="A601" s="15" t="s">
        <v>327</v>
      </c>
      <c r="B601" s="15" t="s">
        <v>328</v>
      </c>
      <c r="C601" s="15" t="s">
        <v>331</v>
      </c>
      <c r="D601" s="15" t="s">
        <v>154</v>
      </c>
      <c r="H601" s="7">
        <v>5</v>
      </c>
      <c r="I601" s="7">
        <v>5</v>
      </c>
      <c r="J601" s="8">
        <f t="shared" si="9"/>
        <v>0.5</v>
      </c>
      <c r="K601" s="7" t="s">
        <v>30</v>
      </c>
      <c r="P601" s="7">
        <v>10</v>
      </c>
      <c r="Q601" s="7">
        <v>6</v>
      </c>
      <c r="T601" s="14" t="s">
        <v>155</v>
      </c>
    </row>
    <row r="602" spans="1:20" x14ac:dyDescent="0.25">
      <c r="A602" s="15" t="s">
        <v>327</v>
      </c>
      <c r="B602" s="15" t="s">
        <v>328</v>
      </c>
      <c r="C602" s="15" t="s">
        <v>181</v>
      </c>
      <c r="D602" s="15" t="s">
        <v>173</v>
      </c>
      <c r="H602" s="7">
        <v>5</v>
      </c>
      <c r="I602" s="7">
        <v>5</v>
      </c>
      <c r="J602" s="8">
        <f t="shared" si="9"/>
        <v>0.5</v>
      </c>
      <c r="K602" s="7" t="s">
        <v>30</v>
      </c>
      <c r="P602" s="7">
        <v>9</v>
      </c>
      <c r="Q602" s="7">
        <v>7</v>
      </c>
      <c r="T602" s="15" t="s">
        <v>181</v>
      </c>
    </row>
    <row r="603" spans="1:20" x14ac:dyDescent="0.25">
      <c r="A603" s="15" t="s">
        <v>327</v>
      </c>
      <c r="B603" s="15" t="s">
        <v>328</v>
      </c>
      <c r="C603" s="15" t="s">
        <v>311</v>
      </c>
      <c r="D603" s="15" t="s">
        <v>157</v>
      </c>
      <c r="H603" s="7">
        <v>5</v>
      </c>
      <c r="I603" s="7">
        <v>5</v>
      </c>
      <c r="J603" s="8">
        <f t="shared" si="9"/>
        <v>0.5</v>
      </c>
      <c r="K603" s="7" t="s">
        <v>30</v>
      </c>
      <c r="P603" s="7">
        <v>8</v>
      </c>
      <c r="Q603" s="7">
        <v>8</v>
      </c>
      <c r="T603" s="15" t="s">
        <v>311</v>
      </c>
    </row>
    <row r="604" spans="1:20" x14ac:dyDescent="0.25">
      <c r="A604" s="15" t="s">
        <v>327</v>
      </c>
      <c r="B604" s="15" t="s">
        <v>328</v>
      </c>
      <c r="C604" s="15" t="s">
        <v>309</v>
      </c>
      <c r="D604" s="15" t="s">
        <v>152</v>
      </c>
      <c r="H604" s="7">
        <v>5</v>
      </c>
      <c r="I604" s="7">
        <v>5</v>
      </c>
      <c r="J604" s="8">
        <f t="shared" si="9"/>
        <v>0.5</v>
      </c>
      <c r="K604" s="7" t="s">
        <v>30</v>
      </c>
      <c r="P604" s="7">
        <v>7</v>
      </c>
      <c r="Q604" s="7">
        <v>9</v>
      </c>
      <c r="T604" s="15" t="s">
        <v>309</v>
      </c>
    </row>
    <row r="605" spans="1:20" x14ac:dyDescent="0.25">
      <c r="A605" s="15" t="s">
        <v>327</v>
      </c>
      <c r="B605" s="15" t="s">
        <v>328</v>
      </c>
      <c r="C605" s="14" t="s">
        <v>197</v>
      </c>
      <c r="D605" s="15" t="s">
        <v>312</v>
      </c>
      <c r="H605" s="7">
        <v>5</v>
      </c>
      <c r="I605" s="7">
        <v>5</v>
      </c>
      <c r="J605" s="8">
        <f t="shared" si="9"/>
        <v>0.5</v>
      </c>
      <c r="K605" s="7" t="s">
        <v>30</v>
      </c>
      <c r="P605" s="7">
        <v>7</v>
      </c>
      <c r="Q605" s="7">
        <v>9</v>
      </c>
      <c r="T605" s="14" t="s">
        <v>197</v>
      </c>
    </row>
    <row r="606" spans="1:20" x14ac:dyDescent="0.25">
      <c r="A606" s="15" t="s">
        <v>327</v>
      </c>
      <c r="B606" s="15" t="s">
        <v>328</v>
      </c>
      <c r="C606" s="15" t="s">
        <v>333</v>
      </c>
      <c r="D606" s="15" t="s">
        <v>154</v>
      </c>
      <c r="H606" s="7">
        <v>5</v>
      </c>
      <c r="I606" s="7">
        <v>5</v>
      </c>
      <c r="J606" s="8">
        <f t="shared" si="9"/>
        <v>0.5</v>
      </c>
      <c r="P606" s="7">
        <v>6</v>
      </c>
      <c r="Q606" s="7">
        <v>10</v>
      </c>
      <c r="T606" s="15" t="s">
        <v>332</v>
      </c>
    </row>
    <row r="607" spans="1:20" x14ac:dyDescent="0.25">
      <c r="A607" s="15" t="s">
        <v>327</v>
      </c>
      <c r="B607" s="15" t="s">
        <v>328</v>
      </c>
      <c r="C607" s="15" t="s">
        <v>334</v>
      </c>
      <c r="D607" s="15" t="s">
        <v>157</v>
      </c>
      <c r="H607" s="7">
        <v>4</v>
      </c>
      <c r="I607" s="7">
        <v>6</v>
      </c>
      <c r="J607" s="8">
        <f t="shared" si="9"/>
        <v>0.4</v>
      </c>
      <c r="P607" s="7">
        <v>8</v>
      </c>
      <c r="Q607" s="7">
        <v>8</v>
      </c>
      <c r="T607" s="15" t="s">
        <v>334</v>
      </c>
    </row>
    <row r="608" spans="1:20" x14ac:dyDescent="0.25">
      <c r="A608" s="15" t="s">
        <v>327</v>
      </c>
      <c r="B608" s="15" t="s">
        <v>328</v>
      </c>
      <c r="C608" s="15" t="s">
        <v>336</v>
      </c>
      <c r="D608" s="15" t="s">
        <v>171</v>
      </c>
      <c r="H608" s="7">
        <v>3</v>
      </c>
      <c r="I608" s="7">
        <v>7</v>
      </c>
      <c r="J608" s="8">
        <f t="shared" si="9"/>
        <v>0.3</v>
      </c>
      <c r="P608" s="7">
        <v>5</v>
      </c>
      <c r="Q608" s="7">
        <v>11</v>
      </c>
      <c r="T608" s="15" t="s">
        <v>335</v>
      </c>
    </row>
    <row r="609" spans="1:20" x14ac:dyDescent="0.25">
      <c r="A609" s="15" t="s">
        <v>327</v>
      </c>
      <c r="B609" s="15" t="s">
        <v>328</v>
      </c>
      <c r="C609" s="14" t="s">
        <v>280</v>
      </c>
      <c r="D609" s="15" t="s">
        <v>164</v>
      </c>
      <c r="H609" s="7">
        <v>2</v>
      </c>
      <c r="I609" s="7">
        <v>8</v>
      </c>
      <c r="J609" s="8">
        <f t="shared" si="9"/>
        <v>0.2</v>
      </c>
      <c r="P609" s="7">
        <v>4</v>
      </c>
      <c r="Q609" s="7">
        <v>12</v>
      </c>
      <c r="T609" s="14" t="s">
        <v>279</v>
      </c>
    </row>
    <row r="610" spans="1:20" x14ac:dyDescent="0.25">
      <c r="A610" s="15" t="s">
        <v>327</v>
      </c>
      <c r="B610" s="15" t="s">
        <v>328</v>
      </c>
      <c r="C610" s="14" t="s">
        <v>158</v>
      </c>
      <c r="D610" s="15" t="s">
        <v>159</v>
      </c>
      <c r="H610" s="7">
        <v>2</v>
      </c>
      <c r="I610" s="7">
        <v>8</v>
      </c>
      <c r="J610" s="8">
        <f t="shared" si="9"/>
        <v>0.2</v>
      </c>
      <c r="P610" s="7">
        <v>4</v>
      </c>
      <c r="Q610" s="7">
        <v>12</v>
      </c>
      <c r="T610" s="14" t="s">
        <v>158</v>
      </c>
    </row>
    <row r="611" spans="1:20" x14ac:dyDescent="0.25">
      <c r="A611" s="15" t="s">
        <v>327</v>
      </c>
      <c r="B611" s="15" t="s">
        <v>328</v>
      </c>
      <c r="C611" s="14" t="s">
        <v>256</v>
      </c>
      <c r="D611" s="15" t="s">
        <v>164</v>
      </c>
      <c r="H611" s="7">
        <v>2</v>
      </c>
      <c r="I611" s="7">
        <v>8</v>
      </c>
      <c r="J611" s="8">
        <f t="shared" si="9"/>
        <v>0.2</v>
      </c>
      <c r="P611" s="7">
        <v>3</v>
      </c>
      <c r="Q611" s="7">
        <v>13</v>
      </c>
      <c r="T611" s="14" t="s">
        <v>256</v>
      </c>
    </row>
    <row r="612" spans="1:20" x14ac:dyDescent="0.25">
      <c r="A612" s="15" t="s">
        <v>327</v>
      </c>
      <c r="B612" s="15" t="s">
        <v>328</v>
      </c>
      <c r="C612" s="15" t="s">
        <v>337</v>
      </c>
      <c r="D612" s="15" t="s">
        <v>243</v>
      </c>
      <c r="H612" s="7">
        <v>2</v>
      </c>
      <c r="I612" s="7">
        <v>8</v>
      </c>
      <c r="J612" s="8">
        <f t="shared" si="9"/>
        <v>0.2</v>
      </c>
      <c r="P612" s="7">
        <v>2</v>
      </c>
      <c r="Q612" s="7">
        <v>14</v>
      </c>
      <c r="T612" s="15" t="s">
        <v>337</v>
      </c>
    </row>
    <row r="613" spans="1:20" x14ac:dyDescent="0.25">
      <c r="A613" s="15" t="s">
        <v>327</v>
      </c>
      <c r="B613" s="15" t="s">
        <v>328</v>
      </c>
      <c r="C613" s="14" t="s">
        <v>165</v>
      </c>
      <c r="D613" s="15" t="s">
        <v>312</v>
      </c>
      <c r="H613" s="7">
        <v>1</v>
      </c>
      <c r="I613" s="7">
        <v>9</v>
      </c>
      <c r="J613" s="8">
        <f t="shared" si="9"/>
        <v>0.1</v>
      </c>
      <c r="P613" s="7">
        <v>2</v>
      </c>
      <c r="Q613" s="7">
        <v>14</v>
      </c>
      <c r="T613" s="14" t="s">
        <v>165</v>
      </c>
    </row>
    <row r="614" spans="1:20" x14ac:dyDescent="0.25">
      <c r="A614" s="15" t="s">
        <v>338</v>
      </c>
      <c r="B614" s="15" t="s">
        <v>328</v>
      </c>
      <c r="C614" s="14" t="s">
        <v>158</v>
      </c>
      <c r="D614" s="15" t="s">
        <v>159</v>
      </c>
      <c r="H614" s="7">
        <v>8</v>
      </c>
      <c r="I614" s="7">
        <v>2</v>
      </c>
      <c r="J614" s="8">
        <f t="shared" si="9"/>
        <v>0.8</v>
      </c>
      <c r="K614" s="7" t="s">
        <v>30</v>
      </c>
      <c r="L614" s="7" t="s">
        <v>30</v>
      </c>
      <c r="M614" s="7" t="s">
        <v>30</v>
      </c>
      <c r="N614" s="7" t="s">
        <v>30</v>
      </c>
      <c r="O614" s="16" t="s">
        <v>30</v>
      </c>
      <c r="P614" s="7">
        <v>12</v>
      </c>
      <c r="Q614" s="7">
        <v>4</v>
      </c>
      <c r="T614" s="14" t="s">
        <v>158</v>
      </c>
    </row>
    <row r="615" spans="1:20" x14ac:dyDescent="0.25">
      <c r="A615" s="15" t="s">
        <v>338</v>
      </c>
      <c r="B615" s="15" t="s">
        <v>328</v>
      </c>
      <c r="C615" s="14" t="s">
        <v>149</v>
      </c>
      <c r="D615" s="15" t="s">
        <v>152</v>
      </c>
      <c r="H615" s="7">
        <v>8</v>
      </c>
      <c r="I615" s="7">
        <v>2</v>
      </c>
      <c r="J615" s="8">
        <f t="shared" si="9"/>
        <v>0.8</v>
      </c>
      <c r="K615" s="7" t="s">
        <v>30</v>
      </c>
      <c r="L615" s="7" t="s">
        <v>30</v>
      </c>
      <c r="M615" s="7" t="s">
        <v>30</v>
      </c>
      <c r="P615" s="7">
        <v>11</v>
      </c>
      <c r="Q615" s="7">
        <v>5</v>
      </c>
      <c r="T615" s="14" t="s">
        <v>149</v>
      </c>
    </row>
    <row r="616" spans="1:20" x14ac:dyDescent="0.25">
      <c r="A616" s="15" t="s">
        <v>338</v>
      </c>
      <c r="B616" s="15" t="s">
        <v>328</v>
      </c>
      <c r="C616" s="15" t="s">
        <v>339</v>
      </c>
      <c r="D616" s="15" t="s">
        <v>171</v>
      </c>
      <c r="H616" s="7">
        <v>7</v>
      </c>
      <c r="I616" s="7">
        <v>3</v>
      </c>
      <c r="J616" s="8">
        <f t="shared" si="9"/>
        <v>0.7</v>
      </c>
      <c r="K616" s="7" t="s">
        <v>30</v>
      </c>
      <c r="L616" s="7" t="s">
        <v>30</v>
      </c>
      <c r="M616" s="7" t="s">
        <v>30</v>
      </c>
      <c r="N616" s="7" t="s">
        <v>30</v>
      </c>
      <c r="P616" s="7">
        <v>10</v>
      </c>
      <c r="Q616" s="7">
        <v>6</v>
      </c>
      <c r="T616" s="15" t="s">
        <v>176</v>
      </c>
    </row>
    <row r="617" spans="1:20" x14ac:dyDescent="0.25">
      <c r="A617" s="15" t="s">
        <v>338</v>
      </c>
      <c r="B617" s="15" t="s">
        <v>328</v>
      </c>
      <c r="C617" s="15" t="s">
        <v>340</v>
      </c>
      <c r="D617" s="15" t="s">
        <v>171</v>
      </c>
      <c r="H617" s="7">
        <v>5</v>
      </c>
      <c r="I617" s="7">
        <v>5</v>
      </c>
      <c r="J617" s="8">
        <f t="shared" si="9"/>
        <v>0.5</v>
      </c>
      <c r="K617" s="7" t="s">
        <v>30</v>
      </c>
      <c r="L617" s="7" t="s">
        <v>30</v>
      </c>
      <c r="M617" s="7" t="s">
        <v>30</v>
      </c>
      <c r="P617" s="7">
        <v>9</v>
      </c>
      <c r="Q617" s="7">
        <v>7</v>
      </c>
      <c r="T617" s="15" t="s">
        <v>295</v>
      </c>
    </row>
    <row r="618" spans="1:20" x14ac:dyDescent="0.25">
      <c r="A618" s="15" t="s">
        <v>338</v>
      </c>
      <c r="B618" s="15" t="s">
        <v>328</v>
      </c>
      <c r="C618" s="14" t="s">
        <v>162</v>
      </c>
      <c r="D618" s="15" t="s">
        <v>152</v>
      </c>
      <c r="H618" s="7">
        <v>10</v>
      </c>
      <c r="I618" s="7">
        <v>0</v>
      </c>
      <c r="J618" s="8">
        <f t="shared" si="9"/>
        <v>1</v>
      </c>
      <c r="K618" s="7" t="s">
        <v>30</v>
      </c>
      <c r="P618" s="7">
        <v>15</v>
      </c>
      <c r="Q618" s="7">
        <v>1</v>
      </c>
      <c r="T618" s="15" t="s">
        <v>162</v>
      </c>
    </row>
    <row r="619" spans="1:20" x14ac:dyDescent="0.25">
      <c r="A619" s="15" t="s">
        <v>338</v>
      </c>
      <c r="B619" s="15" t="s">
        <v>328</v>
      </c>
      <c r="C619" s="15" t="s">
        <v>330</v>
      </c>
      <c r="D619" s="15" t="s">
        <v>243</v>
      </c>
      <c r="H619" s="7">
        <v>7</v>
      </c>
      <c r="I619" s="7">
        <v>3</v>
      </c>
      <c r="J619" s="8">
        <f t="shared" si="9"/>
        <v>0.7</v>
      </c>
      <c r="K619" s="7" t="s">
        <v>30</v>
      </c>
      <c r="P619" s="7">
        <v>13</v>
      </c>
      <c r="Q619" s="7">
        <v>3</v>
      </c>
      <c r="T619" s="15" t="s">
        <v>241</v>
      </c>
    </row>
    <row r="620" spans="1:20" x14ac:dyDescent="0.25">
      <c r="A620" s="15" t="s">
        <v>338</v>
      </c>
      <c r="B620" s="15" t="s">
        <v>328</v>
      </c>
      <c r="C620" s="15" t="s">
        <v>308</v>
      </c>
      <c r="D620" s="15" t="s">
        <v>157</v>
      </c>
      <c r="H620" s="7">
        <v>7</v>
      </c>
      <c r="I620" s="7">
        <v>3</v>
      </c>
      <c r="J620" s="8">
        <f t="shared" si="9"/>
        <v>0.7</v>
      </c>
      <c r="K620" s="7" t="s">
        <v>30</v>
      </c>
      <c r="L620" s="7" t="s">
        <v>30</v>
      </c>
      <c r="P620" s="7">
        <v>11</v>
      </c>
      <c r="Q620" s="7">
        <v>5</v>
      </c>
      <c r="T620" s="14" t="s">
        <v>178</v>
      </c>
    </row>
    <row r="621" spans="1:20" x14ac:dyDescent="0.25">
      <c r="A621" s="15" t="s">
        <v>338</v>
      </c>
      <c r="B621" s="15" t="s">
        <v>328</v>
      </c>
      <c r="C621" s="14" t="s">
        <v>179</v>
      </c>
      <c r="D621" s="15" t="s">
        <v>164</v>
      </c>
      <c r="H621" s="7">
        <v>7</v>
      </c>
      <c r="I621" s="7">
        <v>3</v>
      </c>
      <c r="J621" s="8">
        <f t="shared" si="9"/>
        <v>0.7</v>
      </c>
      <c r="K621" s="7" t="s">
        <v>30</v>
      </c>
      <c r="L621" s="7" t="s">
        <v>30</v>
      </c>
      <c r="P621" s="7">
        <v>9</v>
      </c>
      <c r="Q621" s="7">
        <v>7</v>
      </c>
      <c r="T621" s="14" t="s">
        <v>179</v>
      </c>
    </row>
    <row r="622" spans="1:20" x14ac:dyDescent="0.25">
      <c r="A622" s="15" t="s">
        <v>338</v>
      </c>
      <c r="B622" s="15" t="s">
        <v>328</v>
      </c>
      <c r="C622" s="15" t="s">
        <v>331</v>
      </c>
      <c r="D622" s="15" t="s">
        <v>154</v>
      </c>
      <c r="H622" s="7">
        <v>6</v>
      </c>
      <c r="I622" s="7">
        <v>4</v>
      </c>
      <c r="J622" s="8">
        <f t="shared" si="9"/>
        <v>0.6</v>
      </c>
      <c r="K622" s="7" t="s">
        <v>30</v>
      </c>
      <c r="L622" s="7" t="s">
        <v>30</v>
      </c>
      <c r="P622" s="7">
        <v>9</v>
      </c>
      <c r="Q622" s="7">
        <v>7</v>
      </c>
      <c r="T622" s="14" t="s">
        <v>155</v>
      </c>
    </row>
    <row r="623" spans="1:20" x14ac:dyDescent="0.25">
      <c r="A623" s="15" t="s">
        <v>338</v>
      </c>
      <c r="B623" s="15" t="s">
        <v>328</v>
      </c>
      <c r="C623" s="14" t="s">
        <v>156</v>
      </c>
      <c r="D623" s="15" t="s">
        <v>157</v>
      </c>
      <c r="H623" s="7">
        <v>6</v>
      </c>
      <c r="I623" s="7">
        <v>4</v>
      </c>
      <c r="J623" s="8">
        <f t="shared" si="9"/>
        <v>0.6</v>
      </c>
      <c r="K623" s="7" t="s">
        <v>30</v>
      </c>
      <c r="P623" s="7">
        <v>9</v>
      </c>
      <c r="Q623" s="7">
        <v>7</v>
      </c>
      <c r="T623" s="14" t="s">
        <v>156</v>
      </c>
    </row>
    <row r="624" spans="1:20" x14ac:dyDescent="0.25">
      <c r="A624" s="15" t="s">
        <v>338</v>
      </c>
      <c r="B624" s="15" t="s">
        <v>328</v>
      </c>
      <c r="C624" s="15" t="s">
        <v>188</v>
      </c>
      <c r="D624" s="15" t="s">
        <v>187</v>
      </c>
      <c r="H624" s="7">
        <v>5</v>
      </c>
      <c r="I624" s="7">
        <v>5</v>
      </c>
      <c r="J624" s="8">
        <f t="shared" si="9"/>
        <v>0.5</v>
      </c>
      <c r="K624" s="7" t="s">
        <v>30</v>
      </c>
      <c r="P624" s="7">
        <v>10</v>
      </c>
      <c r="Q624" s="7">
        <v>6</v>
      </c>
      <c r="T624" s="15" t="s">
        <v>188</v>
      </c>
    </row>
    <row r="625" spans="1:20" x14ac:dyDescent="0.25">
      <c r="A625" s="15" t="s">
        <v>338</v>
      </c>
      <c r="B625" s="15" t="s">
        <v>328</v>
      </c>
      <c r="C625" s="14" t="s">
        <v>280</v>
      </c>
      <c r="D625" s="15" t="s">
        <v>164</v>
      </c>
      <c r="H625" s="7">
        <v>5</v>
      </c>
      <c r="I625" s="7">
        <v>5</v>
      </c>
      <c r="J625" s="8">
        <f t="shared" si="9"/>
        <v>0.5</v>
      </c>
      <c r="K625" s="7" t="s">
        <v>30</v>
      </c>
      <c r="L625" s="7" t="s">
        <v>30</v>
      </c>
      <c r="P625" s="7">
        <v>8</v>
      </c>
      <c r="Q625" s="7">
        <v>8</v>
      </c>
      <c r="T625" s="14" t="s">
        <v>279</v>
      </c>
    </row>
    <row r="626" spans="1:20" x14ac:dyDescent="0.25">
      <c r="A626" s="15" t="s">
        <v>338</v>
      </c>
      <c r="B626" s="15" t="s">
        <v>328</v>
      </c>
      <c r="C626" s="14" t="s">
        <v>257</v>
      </c>
      <c r="D626" s="15" t="s">
        <v>215</v>
      </c>
      <c r="H626" s="7">
        <v>4</v>
      </c>
      <c r="I626" s="7">
        <v>6</v>
      </c>
      <c r="J626" s="8">
        <f t="shared" si="9"/>
        <v>0.4</v>
      </c>
      <c r="K626" s="7" t="s">
        <v>30</v>
      </c>
      <c r="P626" s="7">
        <v>8</v>
      </c>
      <c r="Q626" s="7">
        <v>8</v>
      </c>
      <c r="T626" s="14" t="s">
        <v>257</v>
      </c>
    </row>
    <row r="627" spans="1:20" x14ac:dyDescent="0.25">
      <c r="A627" s="15" t="s">
        <v>338</v>
      </c>
      <c r="B627" s="15" t="s">
        <v>328</v>
      </c>
      <c r="C627" s="14" t="s">
        <v>169</v>
      </c>
      <c r="D627" s="15" t="s">
        <v>161</v>
      </c>
      <c r="H627" s="7">
        <v>4</v>
      </c>
      <c r="I627" s="7">
        <v>6</v>
      </c>
      <c r="J627" s="8">
        <f t="shared" si="9"/>
        <v>0.4</v>
      </c>
      <c r="K627" s="7" t="s">
        <v>30</v>
      </c>
      <c r="P627" s="7">
        <v>7</v>
      </c>
      <c r="Q627" s="7">
        <v>9</v>
      </c>
      <c r="T627" s="14" t="s">
        <v>169</v>
      </c>
    </row>
    <row r="628" spans="1:20" x14ac:dyDescent="0.25">
      <c r="A628" s="15" t="s">
        <v>338</v>
      </c>
      <c r="B628" s="15" t="s">
        <v>328</v>
      </c>
      <c r="C628" s="15" t="s">
        <v>336</v>
      </c>
      <c r="D628" s="15" t="s">
        <v>171</v>
      </c>
      <c r="H628" s="7">
        <v>4</v>
      </c>
      <c r="I628" s="7">
        <v>6</v>
      </c>
      <c r="J628" s="8">
        <f t="shared" si="9"/>
        <v>0.4</v>
      </c>
      <c r="K628" s="7" t="s">
        <v>30</v>
      </c>
      <c r="P628" s="7">
        <v>7</v>
      </c>
      <c r="Q628" s="7">
        <v>9</v>
      </c>
      <c r="T628" s="15" t="s">
        <v>335</v>
      </c>
    </row>
    <row r="629" spans="1:20" x14ac:dyDescent="0.25">
      <c r="A629" s="15" t="s">
        <v>338</v>
      </c>
      <c r="B629" s="15" t="s">
        <v>328</v>
      </c>
      <c r="C629" s="15" t="s">
        <v>311</v>
      </c>
      <c r="D629" s="15" t="s">
        <v>157</v>
      </c>
      <c r="H629" s="7">
        <v>4</v>
      </c>
      <c r="I629" s="7">
        <v>6</v>
      </c>
      <c r="J629" s="8">
        <f t="shared" si="9"/>
        <v>0.4</v>
      </c>
      <c r="K629" s="7" t="s">
        <v>30</v>
      </c>
      <c r="P629" s="7">
        <v>7</v>
      </c>
      <c r="Q629" s="7">
        <v>9</v>
      </c>
      <c r="T629" s="15" t="s">
        <v>311</v>
      </c>
    </row>
    <row r="630" spans="1:20" x14ac:dyDescent="0.25">
      <c r="A630" s="15" t="s">
        <v>338</v>
      </c>
      <c r="B630" s="15" t="s">
        <v>328</v>
      </c>
      <c r="C630" s="15" t="s">
        <v>265</v>
      </c>
      <c r="D630" s="15" t="s">
        <v>154</v>
      </c>
      <c r="H630" s="7">
        <v>5</v>
      </c>
      <c r="I630" s="7">
        <v>5</v>
      </c>
      <c r="J630" s="8">
        <f t="shared" si="9"/>
        <v>0.5</v>
      </c>
      <c r="P630" s="7">
        <v>7</v>
      </c>
      <c r="Q630" s="7">
        <v>9</v>
      </c>
      <c r="T630" s="15" t="s">
        <v>265</v>
      </c>
    </row>
    <row r="631" spans="1:20" x14ac:dyDescent="0.25">
      <c r="A631" s="15" t="s">
        <v>338</v>
      </c>
      <c r="B631" s="15" t="s">
        <v>328</v>
      </c>
      <c r="C631" s="15" t="s">
        <v>309</v>
      </c>
      <c r="D631" s="15" t="s">
        <v>152</v>
      </c>
      <c r="H631" s="7">
        <v>4</v>
      </c>
      <c r="I631" s="7">
        <v>6</v>
      </c>
      <c r="J631" s="8">
        <f t="shared" si="9"/>
        <v>0.4</v>
      </c>
      <c r="P631" s="7">
        <v>7</v>
      </c>
      <c r="Q631" s="7">
        <v>9</v>
      </c>
      <c r="T631" s="15" t="s">
        <v>309</v>
      </c>
    </row>
    <row r="632" spans="1:20" x14ac:dyDescent="0.25">
      <c r="A632" s="15" t="s">
        <v>338</v>
      </c>
      <c r="B632" s="15" t="s">
        <v>328</v>
      </c>
      <c r="C632" s="15" t="s">
        <v>181</v>
      </c>
      <c r="D632" s="15" t="s">
        <v>173</v>
      </c>
      <c r="H632" s="7">
        <v>3</v>
      </c>
      <c r="I632" s="7">
        <v>7</v>
      </c>
      <c r="J632" s="8">
        <f t="shared" si="9"/>
        <v>0.3</v>
      </c>
      <c r="P632" s="7">
        <v>6</v>
      </c>
      <c r="Q632" s="7">
        <v>10</v>
      </c>
      <c r="T632" s="15" t="s">
        <v>181</v>
      </c>
    </row>
    <row r="633" spans="1:20" x14ac:dyDescent="0.25">
      <c r="A633" s="15" t="s">
        <v>338</v>
      </c>
      <c r="B633" s="15" t="s">
        <v>328</v>
      </c>
      <c r="C633" s="15" t="s">
        <v>342</v>
      </c>
      <c r="D633" s="15" t="s">
        <v>154</v>
      </c>
      <c r="H633" s="7">
        <v>3</v>
      </c>
      <c r="I633" s="7">
        <v>7</v>
      </c>
      <c r="J633" s="8">
        <f t="shared" si="9"/>
        <v>0.3</v>
      </c>
      <c r="P633" s="7">
        <v>5</v>
      </c>
      <c r="Q633" s="7">
        <v>11</v>
      </c>
      <c r="T633" s="15" t="s">
        <v>341</v>
      </c>
    </row>
    <row r="634" spans="1:20" x14ac:dyDescent="0.25">
      <c r="A634" s="15" t="s">
        <v>338</v>
      </c>
      <c r="B634" s="15" t="s">
        <v>328</v>
      </c>
      <c r="C634" s="14" t="s">
        <v>303</v>
      </c>
      <c r="D634" s="15" t="s">
        <v>215</v>
      </c>
      <c r="H634" s="7">
        <v>3</v>
      </c>
      <c r="I634" s="7">
        <v>7</v>
      </c>
      <c r="J634" s="8">
        <f t="shared" si="9"/>
        <v>0.3</v>
      </c>
      <c r="P634" s="7">
        <v>4</v>
      </c>
      <c r="Q634" s="7">
        <v>12</v>
      </c>
      <c r="T634" s="14" t="s">
        <v>303</v>
      </c>
    </row>
    <row r="635" spans="1:20" x14ac:dyDescent="0.25">
      <c r="A635" s="15" t="s">
        <v>338</v>
      </c>
      <c r="B635" s="15" t="s">
        <v>328</v>
      </c>
      <c r="C635" s="14" t="s">
        <v>165</v>
      </c>
      <c r="D635" s="15" t="s">
        <v>312</v>
      </c>
      <c r="H635" s="7">
        <v>2</v>
      </c>
      <c r="I635" s="7">
        <v>8</v>
      </c>
      <c r="J635" s="8">
        <f t="shared" si="9"/>
        <v>0.2</v>
      </c>
      <c r="P635" s="7">
        <v>4</v>
      </c>
      <c r="Q635" s="7">
        <v>12</v>
      </c>
      <c r="T635" s="14" t="s">
        <v>165</v>
      </c>
    </row>
    <row r="636" spans="1:20" x14ac:dyDescent="0.25">
      <c r="A636" s="15" t="s">
        <v>338</v>
      </c>
      <c r="B636" s="15" t="s">
        <v>328</v>
      </c>
      <c r="C636" s="15" t="s">
        <v>343</v>
      </c>
      <c r="D636" s="15" t="s">
        <v>187</v>
      </c>
      <c r="H636" s="7">
        <v>2</v>
      </c>
      <c r="I636" s="7">
        <v>8</v>
      </c>
      <c r="J636" s="8">
        <f t="shared" si="9"/>
        <v>0.2</v>
      </c>
      <c r="P636" s="7">
        <v>3</v>
      </c>
      <c r="Q636" s="7">
        <v>13</v>
      </c>
      <c r="T636" s="15" t="s">
        <v>343</v>
      </c>
    </row>
    <row r="637" spans="1:20" x14ac:dyDescent="0.25">
      <c r="A637" s="15" t="s">
        <v>338</v>
      </c>
      <c r="B637" s="15" t="s">
        <v>328</v>
      </c>
      <c r="C637" s="15" t="s">
        <v>344</v>
      </c>
      <c r="D637" s="15" t="s">
        <v>187</v>
      </c>
      <c r="H637" s="7">
        <v>1</v>
      </c>
      <c r="I637" s="7">
        <v>9</v>
      </c>
      <c r="J637" s="8">
        <f t="shared" si="9"/>
        <v>0.1</v>
      </c>
      <c r="P637" s="7">
        <v>1</v>
      </c>
      <c r="Q637" s="7">
        <v>15</v>
      </c>
      <c r="T637" s="15" t="s">
        <v>344</v>
      </c>
    </row>
    <row r="638" spans="1:20" x14ac:dyDescent="0.25">
      <c r="A638" s="15" t="s">
        <v>345</v>
      </c>
      <c r="B638" s="15" t="s">
        <v>328</v>
      </c>
      <c r="C638" s="15" t="s">
        <v>339</v>
      </c>
      <c r="D638" s="15" t="s">
        <v>171</v>
      </c>
      <c r="H638" s="7">
        <v>9</v>
      </c>
      <c r="I638" s="7">
        <v>1</v>
      </c>
      <c r="J638" s="8">
        <f t="shared" si="9"/>
        <v>0.9</v>
      </c>
      <c r="K638" s="7" t="s">
        <v>30</v>
      </c>
      <c r="L638" s="7" t="s">
        <v>30</v>
      </c>
      <c r="M638" s="7" t="s">
        <v>30</v>
      </c>
      <c r="N638" s="7" t="s">
        <v>30</v>
      </c>
      <c r="O638" s="16" t="s">
        <v>30</v>
      </c>
      <c r="P638" s="7">
        <v>13</v>
      </c>
      <c r="Q638" s="7">
        <v>3</v>
      </c>
      <c r="T638" s="15" t="s">
        <v>176</v>
      </c>
    </row>
    <row r="639" spans="1:20" x14ac:dyDescent="0.25">
      <c r="A639" s="15" t="s">
        <v>345</v>
      </c>
      <c r="B639" s="15" t="s">
        <v>328</v>
      </c>
      <c r="C639" s="15" t="s">
        <v>278</v>
      </c>
      <c r="D639" s="15" t="s">
        <v>171</v>
      </c>
      <c r="H639" s="7">
        <v>9</v>
      </c>
      <c r="I639" s="7">
        <v>1</v>
      </c>
      <c r="J639" s="8">
        <f t="shared" si="9"/>
        <v>0.9</v>
      </c>
      <c r="K639" s="7" t="s">
        <v>30</v>
      </c>
      <c r="L639" s="7" t="s">
        <v>30</v>
      </c>
      <c r="M639" s="7" t="s">
        <v>30</v>
      </c>
      <c r="P639" s="7">
        <v>12</v>
      </c>
      <c r="Q639" s="7">
        <v>4</v>
      </c>
      <c r="T639" s="15" t="s">
        <v>278</v>
      </c>
    </row>
    <row r="640" spans="1:20" x14ac:dyDescent="0.25">
      <c r="A640" s="15" t="s">
        <v>345</v>
      </c>
      <c r="B640" s="15" t="s">
        <v>328</v>
      </c>
      <c r="C640" s="15" t="s">
        <v>286</v>
      </c>
      <c r="D640" s="15" t="s">
        <v>152</v>
      </c>
      <c r="H640" s="7">
        <v>6</v>
      </c>
      <c r="I640" s="7">
        <v>4</v>
      </c>
      <c r="J640" s="8">
        <f t="shared" si="9"/>
        <v>0.6</v>
      </c>
      <c r="K640" s="7" t="s">
        <v>30</v>
      </c>
      <c r="L640" s="7" t="s">
        <v>30</v>
      </c>
      <c r="M640" s="7" t="s">
        <v>30</v>
      </c>
      <c r="N640" s="7" t="s">
        <v>30</v>
      </c>
      <c r="P640" s="7">
        <v>11</v>
      </c>
      <c r="Q640" s="7">
        <v>5</v>
      </c>
      <c r="T640" s="15" t="s">
        <v>286</v>
      </c>
    </row>
    <row r="641" spans="1:20" x14ac:dyDescent="0.25">
      <c r="A641" s="15" t="s">
        <v>345</v>
      </c>
      <c r="B641" s="15" t="s">
        <v>328</v>
      </c>
      <c r="C641" s="15" t="s">
        <v>346</v>
      </c>
      <c r="D641" s="15" t="s">
        <v>312</v>
      </c>
      <c r="H641" s="7">
        <v>4</v>
      </c>
      <c r="I641" s="7">
        <v>6</v>
      </c>
      <c r="J641" s="8">
        <f t="shared" si="9"/>
        <v>0.4</v>
      </c>
      <c r="K641" s="7" t="s">
        <v>30</v>
      </c>
      <c r="L641" s="7" t="s">
        <v>30</v>
      </c>
      <c r="M641" s="7" t="s">
        <v>30</v>
      </c>
      <c r="P641" s="7">
        <v>6</v>
      </c>
      <c r="Q641" s="7">
        <v>10</v>
      </c>
      <c r="T641" s="14" t="s">
        <v>174</v>
      </c>
    </row>
    <row r="642" spans="1:20" x14ac:dyDescent="0.25">
      <c r="A642" s="15" t="s">
        <v>345</v>
      </c>
      <c r="B642" s="15" t="s">
        <v>328</v>
      </c>
      <c r="C642" s="14" t="s">
        <v>149</v>
      </c>
      <c r="D642" s="15" t="s">
        <v>152</v>
      </c>
      <c r="H642" s="7">
        <v>7</v>
      </c>
      <c r="I642" s="7">
        <v>3</v>
      </c>
      <c r="J642" s="8">
        <f t="shared" ref="J642:J705" si="10">H642/SUM(H642:I642)</f>
        <v>0.7</v>
      </c>
      <c r="K642" s="7" t="s">
        <v>30</v>
      </c>
      <c r="P642" s="7">
        <v>12</v>
      </c>
      <c r="Q642" s="7">
        <v>4</v>
      </c>
      <c r="T642" s="14" t="s">
        <v>149</v>
      </c>
    </row>
    <row r="643" spans="1:20" x14ac:dyDescent="0.25">
      <c r="A643" s="15" t="s">
        <v>345</v>
      </c>
      <c r="B643" s="15" t="s">
        <v>328</v>
      </c>
      <c r="C643" s="15" t="s">
        <v>347</v>
      </c>
      <c r="D643" s="15" t="s">
        <v>154</v>
      </c>
      <c r="H643" s="7">
        <v>7</v>
      </c>
      <c r="I643" s="7">
        <v>3</v>
      </c>
      <c r="J643" s="8">
        <f t="shared" si="10"/>
        <v>0.7</v>
      </c>
      <c r="K643" s="7" t="s">
        <v>30</v>
      </c>
      <c r="P643" s="7">
        <v>9</v>
      </c>
      <c r="Q643" s="7">
        <v>7</v>
      </c>
      <c r="T643" s="14" t="s">
        <v>581</v>
      </c>
    </row>
    <row r="644" spans="1:20" x14ac:dyDescent="0.25">
      <c r="A644" s="15" t="s">
        <v>345</v>
      </c>
      <c r="B644" s="15" t="s">
        <v>328</v>
      </c>
      <c r="C644" s="15" t="s">
        <v>308</v>
      </c>
      <c r="D644" s="15" t="s">
        <v>157</v>
      </c>
      <c r="H644" s="7">
        <v>6</v>
      </c>
      <c r="I644" s="7">
        <v>4</v>
      </c>
      <c r="J644" s="8">
        <f t="shared" si="10"/>
        <v>0.6</v>
      </c>
      <c r="K644" s="7" t="s">
        <v>30</v>
      </c>
      <c r="L644" s="7" t="s">
        <v>30</v>
      </c>
      <c r="P644" s="7">
        <v>12</v>
      </c>
      <c r="Q644" s="7">
        <v>4</v>
      </c>
      <c r="T644" s="14" t="s">
        <v>178</v>
      </c>
    </row>
    <row r="645" spans="1:20" x14ac:dyDescent="0.25">
      <c r="A645" s="15" t="s">
        <v>345</v>
      </c>
      <c r="B645" s="15" t="s">
        <v>328</v>
      </c>
      <c r="C645" s="15" t="s">
        <v>340</v>
      </c>
      <c r="D645" s="15" t="s">
        <v>171</v>
      </c>
      <c r="H645" s="7">
        <v>6</v>
      </c>
      <c r="I645" s="7">
        <v>4</v>
      </c>
      <c r="J645" s="8">
        <f t="shared" si="10"/>
        <v>0.6</v>
      </c>
      <c r="K645" s="7" t="s">
        <v>30</v>
      </c>
      <c r="L645" s="7" t="s">
        <v>30</v>
      </c>
      <c r="P645" s="7">
        <v>10</v>
      </c>
      <c r="Q645" s="7">
        <v>6</v>
      </c>
      <c r="T645" s="15" t="s">
        <v>295</v>
      </c>
    </row>
    <row r="646" spans="1:20" x14ac:dyDescent="0.25">
      <c r="A646" s="15" t="s">
        <v>345</v>
      </c>
      <c r="B646" s="15" t="s">
        <v>328</v>
      </c>
      <c r="C646" s="15" t="s">
        <v>309</v>
      </c>
      <c r="D646" s="15" t="s">
        <v>152</v>
      </c>
      <c r="H646" s="7">
        <v>6</v>
      </c>
      <c r="I646" s="7">
        <v>4</v>
      </c>
      <c r="J646" s="8">
        <f t="shared" si="10"/>
        <v>0.6</v>
      </c>
      <c r="K646" s="7" t="s">
        <v>30</v>
      </c>
      <c r="P646" s="7">
        <v>9</v>
      </c>
      <c r="Q646" s="7">
        <v>7</v>
      </c>
      <c r="T646" s="15" t="s">
        <v>309</v>
      </c>
    </row>
    <row r="647" spans="1:20" x14ac:dyDescent="0.25">
      <c r="A647" s="15" t="s">
        <v>345</v>
      </c>
      <c r="B647" s="15" t="s">
        <v>328</v>
      </c>
      <c r="C647" s="15" t="s">
        <v>292</v>
      </c>
      <c r="D647" s="15" t="s">
        <v>154</v>
      </c>
      <c r="H647" s="7">
        <v>6</v>
      </c>
      <c r="I647" s="7">
        <v>4</v>
      </c>
      <c r="J647" s="8">
        <f t="shared" si="10"/>
        <v>0.6</v>
      </c>
      <c r="K647" s="7" t="s">
        <v>30</v>
      </c>
      <c r="P647" s="7">
        <v>8</v>
      </c>
      <c r="Q647" s="7">
        <v>8</v>
      </c>
      <c r="T647" s="15" t="s">
        <v>292</v>
      </c>
    </row>
    <row r="648" spans="1:20" x14ac:dyDescent="0.25">
      <c r="A648" s="15" t="s">
        <v>345</v>
      </c>
      <c r="B648" s="15" t="s">
        <v>328</v>
      </c>
      <c r="C648" s="14" t="s">
        <v>169</v>
      </c>
      <c r="D648" s="15" t="s">
        <v>161</v>
      </c>
      <c r="H648" s="7">
        <v>5</v>
      </c>
      <c r="I648" s="7">
        <v>5</v>
      </c>
      <c r="J648" s="8">
        <f t="shared" si="10"/>
        <v>0.5</v>
      </c>
      <c r="K648" s="7" t="s">
        <v>30</v>
      </c>
      <c r="P648" s="7">
        <v>11</v>
      </c>
      <c r="Q648" s="7">
        <v>5</v>
      </c>
      <c r="T648" s="14" t="s">
        <v>169</v>
      </c>
    </row>
    <row r="649" spans="1:20" x14ac:dyDescent="0.25">
      <c r="A649" s="15" t="s">
        <v>345</v>
      </c>
      <c r="B649" s="15" t="s">
        <v>328</v>
      </c>
      <c r="C649" s="14" t="s">
        <v>257</v>
      </c>
      <c r="D649" s="15" t="s">
        <v>215</v>
      </c>
      <c r="H649" s="7">
        <v>5</v>
      </c>
      <c r="I649" s="7">
        <v>5</v>
      </c>
      <c r="J649" s="8">
        <f t="shared" si="10"/>
        <v>0.5</v>
      </c>
      <c r="K649" s="7" t="s">
        <v>30</v>
      </c>
      <c r="P649" s="7">
        <v>10</v>
      </c>
      <c r="Q649" s="7">
        <v>6</v>
      </c>
      <c r="T649" s="14" t="s">
        <v>257</v>
      </c>
    </row>
    <row r="650" spans="1:20" x14ac:dyDescent="0.25">
      <c r="A650" s="15" t="s">
        <v>345</v>
      </c>
      <c r="B650" s="15" t="s">
        <v>328</v>
      </c>
      <c r="C650" s="15" t="s">
        <v>181</v>
      </c>
      <c r="D650" s="15" t="s">
        <v>173</v>
      </c>
      <c r="H650" s="7">
        <v>5</v>
      </c>
      <c r="I650" s="7">
        <v>5</v>
      </c>
      <c r="J650" s="8">
        <f t="shared" si="10"/>
        <v>0.5</v>
      </c>
      <c r="K650" s="7" t="s">
        <v>30</v>
      </c>
      <c r="L650" s="7" t="s">
        <v>30</v>
      </c>
      <c r="P650" s="7">
        <v>9</v>
      </c>
      <c r="Q650" s="7">
        <v>7</v>
      </c>
      <c r="T650" s="15" t="s">
        <v>181</v>
      </c>
    </row>
    <row r="651" spans="1:20" x14ac:dyDescent="0.25">
      <c r="A651" s="15" t="s">
        <v>345</v>
      </c>
      <c r="B651" s="15" t="s">
        <v>328</v>
      </c>
      <c r="C651" s="15" t="s">
        <v>188</v>
      </c>
      <c r="D651" s="15" t="s">
        <v>187</v>
      </c>
      <c r="H651" s="7">
        <v>5</v>
      </c>
      <c r="I651" s="7">
        <v>5</v>
      </c>
      <c r="J651" s="8">
        <f t="shared" si="10"/>
        <v>0.5</v>
      </c>
      <c r="K651" s="7" t="s">
        <v>30</v>
      </c>
      <c r="L651" s="7" t="s">
        <v>30</v>
      </c>
      <c r="P651" s="7">
        <v>9</v>
      </c>
      <c r="Q651" s="7">
        <v>7</v>
      </c>
      <c r="T651" s="15" t="s">
        <v>188</v>
      </c>
    </row>
    <row r="652" spans="1:20" x14ac:dyDescent="0.25">
      <c r="A652" s="15" t="s">
        <v>345</v>
      </c>
      <c r="B652" s="15" t="s">
        <v>328</v>
      </c>
      <c r="C652" s="15" t="s">
        <v>330</v>
      </c>
      <c r="D652" s="15" t="s">
        <v>243</v>
      </c>
      <c r="H652" s="7">
        <v>4</v>
      </c>
      <c r="I652" s="7">
        <v>6</v>
      </c>
      <c r="J652" s="8">
        <f t="shared" si="10"/>
        <v>0.4</v>
      </c>
      <c r="K652" s="7" t="s">
        <v>30</v>
      </c>
      <c r="P652" s="7">
        <v>8</v>
      </c>
      <c r="Q652" s="7">
        <v>8</v>
      </c>
      <c r="T652" s="15" t="s">
        <v>241</v>
      </c>
    </row>
    <row r="653" spans="1:20" x14ac:dyDescent="0.25">
      <c r="A653" s="15" t="s">
        <v>345</v>
      </c>
      <c r="B653" s="15" t="s">
        <v>328</v>
      </c>
      <c r="C653" s="15" t="s">
        <v>310</v>
      </c>
      <c r="D653" s="15" t="s">
        <v>215</v>
      </c>
      <c r="H653" s="7">
        <v>4</v>
      </c>
      <c r="I653" s="7">
        <v>6</v>
      </c>
      <c r="J653" s="8">
        <f t="shared" si="10"/>
        <v>0.4</v>
      </c>
      <c r="K653" s="7" t="s">
        <v>30</v>
      </c>
      <c r="P653" s="7">
        <v>5</v>
      </c>
      <c r="Q653" s="7">
        <v>11</v>
      </c>
      <c r="T653" s="15" t="s">
        <v>310</v>
      </c>
    </row>
    <row r="654" spans="1:20" x14ac:dyDescent="0.25">
      <c r="A654" s="15" t="s">
        <v>345</v>
      </c>
      <c r="B654" s="15" t="s">
        <v>328</v>
      </c>
      <c r="C654" s="14" t="s">
        <v>280</v>
      </c>
      <c r="D654" s="15" t="s">
        <v>164</v>
      </c>
      <c r="H654" s="7">
        <v>5</v>
      </c>
      <c r="I654" s="7">
        <v>5</v>
      </c>
      <c r="J654" s="8">
        <f t="shared" si="10"/>
        <v>0.5</v>
      </c>
      <c r="P654" s="7">
        <v>6</v>
      </c>
      <c r="Q654" s="7">
        <v>10</v>
      </c>
      <c r="T654" s="14" t="s">
        <v>279</v>
      </c>
    </row>
    <row r="655" spans="1:20" x14ac:dyDescent="0.25">
      <c r="A655" s="15" t="s">
        <v>345</v>
      </c>
      <c r="B655" s="15" t="s">
        <v>328</v>
      </c>
      <c r="C655" s="15" t="s">
        <v>349</v>
      </c>
      <c r="D655" s="15" t="s">
        <v>157</v>
      </c>
      <c r="H655" s="7">
        <v>5</v>
      </c>
      <c r="I655" s="7">
        <v>5</v>
      </c>
      <c r="J655" s="8">
        <f t="shared" si="10"/>
        <v>0.5</v>
      </c>
      <c r="P655" s="7">
        <v>5</v>
      </c>
      <c r="Q655" s="7">
        <v>11</v>
      </c>
      <c r="T655" s="15" t="s">
        <v>348</v>
      </c>
    </row>
    <row r="656" spans="1:20" x14ac:dyDescent="0.25">
      <c r="A656" s="15" t="s">
        <v>345</v>
      </c>
      <c r="B656" s="15" t="s">
        <v>328</v>
      </c>
      <c r="C656" s="15" t="s">
        <v>350</v>
      </c>
      <c r="D656" s="15" t="s">
        <v>164</v>
      </c>
      <c r="H656" s="7">
        <v>4</v>
      </c>
      <c r="I656" s="7">
        <v>6</v>
      </c>
      <c r="J656" s="8">
        <f t="shared" si="10"/>
        <v>0.4</v>
      </c>
      <c r="P656" s="7">
        <v>7</v>
      </c>
      <c r="Q656" s="7">
        <v>9</v>
      </c>
      <c r="T656" s="15" t="s">
        <v>350</v>
      </c>
    </row>
    <row r="657" spans="1:20" x14ac:dyDescent="0.25">
      <c r="A657" s="15" t="s">
        <v>345</v>
      </c>
      <c r="B657" s="15" t="s">
        <v>328</v>
      </c>
      <c r="C657" s="15" t="s">
        <v>331</v>
      </c>
      <c r="D657" s="15" t="s">
        <v>154</v>
      </c>
      <c r="H657" s="7">
        <v>4</v>
      </c>
      <c r="I657" s="7">
        <v>6</v>
      </c>
      <c r="J657" s="8">
        <f t="shared" si="10"/>
        <v>0.4</v>
      </c>
      <c r="P657" s="7">
        <v>7</v>
      </c>
      <c r="Q657" s="7">
        <v>9</v>
      </c>
      <c r="T657" s="14" t="s">
        <v>155</v>
      </c>
    </row>
    <row r="658" spans="1:20" x14ac:dyDescent="0.25">
      <c r="A658" s="15" t="s">
        <v>345</v>
      </c>
      <c r="B658" s="15" t="s">
        <v>328</v>
      </c>
      <c r="C658" s="15" t="s">
        <v>216</v>
      </c>
      <c r="D658" s="15" t="s">
        <v>164</v>
      </c>
      <c r="H658" s="7">
        <v>3</v>
      </c>
      <c r="I658" s="7">
        <v>7</v>
      </c>
      <c r="J658" s="8">
        <f t="shared" si="10"/>
        <v>0.3</v>
      </c>
      <c r="P658" s="7">
        <v>6</v>
      </c>
      <c r="Q658" s="7">
        <v>10</v>
      </c>
      <c r="T658" s="15" t="s">
        <v>216</v>
      </c>
    </row>
    <row r="659" spans="1:20" x14ac:dyDescent="0.25">
      <c r="A659" s="15" t="s">
        <v>345</v>
      </c>
      <c r="B659" s="15" t="s">
        <v>328</v>
      </c>
      <c r="C659" s="15" t="s">
        <v>311</v>
      </c>
      <c r="D659" s="15" t="s">
        <v>157</v>
      </c>
      <c r="H659" s="7">
        <v>3</v>
      </c>
      <c r="I659" s="7">
        <v>7</v>
      </c>
      <c r="J659" s="8">
        <f t="shared" si="10"/>
        <v>0.3</v>
      </c>
      <c r="P659" s="7">
        <v>5</v>
      </c>
      <c r="Q659" s="7">
        <v>11</v>
      </c>
      <c r="T659" s="15" t="s">
        <v>311</v>
      </c>
    </row>
    <row r="660" spans="1:20" x14ac:dyDescent="0.25">
      <c r="A660" s="15" t="s">
        <v>345</v>
      </c>
      <c r="B660" s="15" t="s">
        <v>328</v>
      </c>
      <c r="C660" s="15" t="s">
        <v>317</v>
      </c>
      <c r="D660" s="15" t="s">
        <v>161</v>
      </c>
      <c r="H660" s="7">
        <v>2</v>
      </c>
      <c r="I660" s="7">
        <v>8</v>
      </c>
      <c r="J660" s="8">
        <f t="shared" si="10"/>
        <v>0.2</v>
      </c>
      <c r="P660" s="7">
        <v>2</v>
      </c>
      <c r="Q660" s="7">
        <v>14</v>
      </c>
      <c r="T660" s="15" t="s">
        <v>317</v>
      </c>
    </row>
    <row r="661" spans="1:20" x14ac:dyDescent="0.25">
      <c r="A661" s="15" t="s">
        <v>345</v>
      </c>
      <c r="B661" s="15" t="s">
        <v>328</v>
      </c>
      <c r="C661" s="15" t="s">
        <v>351</v>
      </c>
      <c r="D661" s="15" t="s">
        <v>326</v>
      </c>
      <c r="H661" s="7">
        <v>0</v>
      </c>
      <c r="I661" s="7">
        <v>10</v>
      </c>
      <c r="J661" s="8">
        <f t="shared" si="10"/>
        <v>0</v>
      </c>
      <c r="P661" s="7">
        <v>0</v>
      </c>
      <c r="Q661" s="7">
        <v>16</v>
      </c>
      <c r="T661" s="15" t="s">
        <v>351</v>
      </c>
    </row>
    <row r="662" spans="1:20" x14ac:dyDescent="0.25">
      <c r="A662" s="15" t="s">
        <v>352</v>
      </c>
      <c r="B662" s="15" t="s">
        <v>328</v>
      </c>
      <c r="C662" s="14" t="s">
        <v>179</v>
      </c>
      <c r="D662" s="15" t="s">
        <v>164</v>
      </c>
      <c r="H662" s="7">
        <v>7</v>
      </c>
      <c r="I662" s="7">
        <v>3</v>
      </c>
      <c r="J662" s="8">
        <f t="shared" si="10"/>
        <v>0.7</v>
      </c>
      <c r="K662" s="7" t="s">
        <v>30</v>
      </c>
      <c r="L662" s="7" t="s">
        <v>30</v>
      </c>
      <c r="M662" s="7" t="s">
        <v>30</v>
      </c>
      <c r="P662" s="7">
        <v>12</v>
      </c>
      <c r="Q662" s="7">
        <v>4</v>
      </c>
      <c r="T662" s="14" t="s">
        <v>179</v>
      </c>
    </row>
    <row r="663" spans="1:20" x14ac:dyDescent="0.25">
      <c r="A663" s="15" t="s">
        <v>352</v>
      </c>
      <c r="B663" s="15" t="s">
        <v>328</v>
      </c>
      <c r="C663" s="15" t="s">
        <v>353</v>
      </c>
      <c r="D663" s="15" t="s">
        <v>243</v>
      </c>
      <c r="H663" s="7">
        <v>7</v>
      </c>
      <c r="I663" s="7">
        <v>3</v>
      </c>
      <c r="J663" s="8">
        <f t="shared" si="10"/>
        <v>0.7</v>
      </c>
      <c r="K663" s="7" t="s">
        <v>30</v>
      </c>
      <c r="L663" s="7" t="s">
        <v>30</v>
      </c>
      <c r="M663" s="7" t="s">
        <v>30</v>
      </c>
      <c r="P663" s="7">
        <v>10</v>
      </c>
      <c r="Q663" s="7">
        <v>6</v>
      </c>
      <c r="T663" s="15" t="s">
        <v>241</v>
      </c>
    </row>
    <row r="664" spans="1:20" x14ac:dyDescent="0.25">
      <c r="A664" s="15" t="s">
        <v>352</v>
      </c>
      <c r="B664" s="15" t="s">
        <v>328</v>
      </c>
      <c r="C664" s="14" t="s">
        <v>149</v>
      </c>
      <c r="D664" s="15" t="s">
        <v>152</v>
      </c>
      <c r="H664" s="7">
        <v>5</v>
      </c>
      <c r="I664" s="7">
        <v>5</v>
      </c>
      <c r="J664" s="8">
        <f t="shared" si="10"/>
        <v>0.5</v>
      </c>
      <c r="K664" s="7" t="s">
        <v>30</v>
      </c>
      <c r="L664" s="7" t="s">
        <v>30</v>
      </c>
      <c r="M664" s="7" t="s">
        <v>30</v>
      </c>
      <c r="N664" s="7" t="s">
        <v>30</v>
      </c>
      <c r="O664" s="16" t="s">
        <v>30</v>
      </c>
      <c r="P664" s="7">
        <v>9</v>
      </c>
      <c r="Q664" s="7">
        <v>7</v>
      </c>
      <c r="T664" s="14" t="s">
        <v>149</v>
      </c>
    </row>
    <row r="665" spans="1:20" x14ac:dyDescent="0.25">
      <c r="A665" s="15" t="s">
        <v>352</v>
      </c>
      <c r="B665" s="15" t="s">
        <v>328</v>
      </c>
      <c r="C665" s="15" t="s">
        <v>347</v>
      </c>
      <c r="D665" s="15" t="s">
        <v>154</v>
      </c>
      <c r="H665" s="7">
        <v>4</v>
      </c>
      <c r="I665" s="7">
        <v>6</v>
      </c>
      <c r="J665" s="8">
        <f t="shared" si="10"/>
        <v>0.4</v>
      </c>
      <c r="K665" s="7" t="s">
        <v>30</v>
      </c>
      <c r="L665" s="7" t="s">
        <v>30</v>
      </c>
      <c r="M665" s="7" t="s">
        <v>30</v>
      </c>
      <c r="N665" s="7" t="s">
        <v>30</v>
      </c>
      <c r="P665" s="7">
        <v>8</v>
      </c>
      <c r="Q665" s="7">
        <v>8</v>
      </c>
      <c r="T665" s="14" t="s">
        <v>581</v>
      </c>
    </row>
    <row r="666" spans="1:20" x14ac:dyDescent="0.25">
      <c r="A666" s="15" t="s">
        <v>352</v>
      </c>
      <c r="B666" s="15" t="s">
        <v>328</v>
      </c>
      <c r="C666" s="14" t="s">
        <v>162</v>
      </c>
      <c r="D666" s="15" t="s">
        <v>152</v>
      </c>
      <c r="H666" s="7">
        <v>8</v>
      </c>
      <c r="I666" s="7">
        <v>2</v>
      </c>
      <c r="J666" s="8">
        <f t="shared" si="10"/>
        <v>0.8</v>
      </c>
      <c r="K666" s="7" t="s">
        <v>30</v>
      </c>
      <c r="L666" s="7" t="s">
        <v>30</v>
      </c>
      <c r="P666" s="7">
        <v>13</v>
      </c>
      <c r="Q666" s="7">
        <v>3</v>
      </c>
      <c r="T666" s="15" t="s">
        <v>162</v>
      </c>
    </row>
    <row r="667" spans="1:20" x14ac:dyDescent="0.25">
      <c r="A667" s="15" t="s">
        <v>352</v>
      </c>
      <c r="B667" s="15" t="s">
        <v>328</v>
      </c>
      <c r="C667" s="15" t="s">
        <v>308</v>
      </c>
      <c r="D667" s="15" t="s">
        <v>157</v>
      </c>
      <c r="H667" s="7">
        <v>8</v>
      </c>
      <c r="I667" s="7">
        <v>2</v>
      </c>
      <c r="J667" s="8">
        <f t="shared" si="10"/>
        <v>0.8</v>
      </c>
      <c r="K667" s="7" t="s">
        <v>30</v>
      </c>
      <c r="L667" s="7" t="s">
        <v>30</v>
      </c>
      <c r="P667" s="7">
        <v>12</v>
      </c>
      <c r="Q667" s="7">
        <v>4</v>
      </c>
      <c r="T667" s="14" t="s">
        <v>178</v>
      </c>
    </row>
    <row r="668" spans="1:20" x14ac:dyDescent="0.25">
      <c r="A668" s="15" t="s">
        <v>352</v>
      </c>
      <c r="B668" s="15" t="s">
        <v>328</v>
      </c>
      <c r="C668" s="15" t="s">
        <v>340</v>
      </c>
      <c r="D668" s="15" t="s">
        <v>171</v>
      </c>
      <c r="H668" s="7">
        <v>7</v>
      </c>
      <c r="I668" s="7">
        <v>3</v>
      </c>
      <c r="J668" s="8">
        <f t="shared" si="10"/>
        <v>0.7</v>
      </c>
      <c r="K668" s="7" t="s">
        <v>30</v>
      </c>
      <c r="L668" s="7" t="s">
        <v>30</v>
      </c>
      <c r="P668" s="7">
        <v>12</v>
      </c>
      <c r="Q668" s="7">
        <v>4</v>
      </c>
      <c r="T668" s="15" t="s">
        <v>295</v>
      </c>
    </row>
    <row r="669" spans="1:20" x14ac:dyDescent="0.25">
      <c r="A669" s="15" t="s">
        <v>352</v>
      </c>
      <c r="B669" s="15" t="s">
        <v>328</v>
      </c>
      <c r="C669" s="15" t="s">
        <v>354</v>
      </c>
      <c r="D669" s="15" t="s">
        <v>171</v>
      </c>
      <c r="H669" s="7">
        <v>7</v>
      </c>
      <c r="I669" s="7">
        <v>3</v>
      </c>
      <c r="J669" s="8">
        <f t="shared" si="10"/>
        <v>0.7</v>
      </c>
      <c r="K669" s="7" t="s">
        <v>30</v>
      </c>
      <c r="L669" s="7" t="s">
        <v>30</v>
      </c>
      <c r="P669" s="7">
        <v>11</v>
      </c>
      <c r="Q669" s="7">
        <v>5</v>
      </c>
      <c r="T669" s="15" t="s">
        <v>170</v>
      </c>
    </row>
    <row r="670" spans="1:20" x14ac:dyDescent="0.25">
      <c r="A670" s="15" t="s">
        <v>352</v>
      </c>
      <c r="B670" s="15" t="s">
        <v>328</v>
      </c>
      <c r="C670" s="14" t="s">
        <v>257</v>
      </c>
      <c r="D670" s="15" t="s">
        <v>215</v>
      </c>
      <c r="H670" s="7">
        <v>6</v>
      </c>
      <c r="I670" s="7">
        <v>4</v>
      </c>
      <c r="J670" s="8">
        <f t="shared" si="10"/>
        <v>0.6</v>
      </c>
      <c r="K670" s="7" t="s">
        <v>30</v>
      </c>
      <c r="P670" s="7">
        <v>10</v>
      </c>
      <c r="Q670" s="7">
        <v>6</v>
      </c>
      <c r="T670" s="14" t="s">
        <v>257</v>
      </c>
    </row>
    <row r="671" spans="1:20" x14ac:dyDescent="0.25">
      <c r="A671" s="15" t="s">
        <v>352</v>
      </c>
      <c r="B671" s="15" t="s">
        <v>328</v>
      </c>
      <c r="C671" s="15" t="s">
        <v>181</v>
      </c>
      <c r="D671" s="15" t="s">
        <v>173</v>
      </c>
      <c r="H671" s="7">
        <v>6</v>
      </c>
      <c r="I671" s="7">
        <v>4</v>
      </c>
      <c r="J671" s="8">
        <f t="shared" si="10"/>
        <v>0.6</v>
      </c>
      <c r="K671" s="7" t="s">
        <v>30</v>
      </c>
      <c r="P671" s="7">
        <v>10</v>
      </c>
      <c r="Q671" s="7">
        <v>6</v>
      </c>
      <c r="T671" s="15" t="s">
        <v>181</v>
      </c>
    </row>
    <row r="672" spans="1:20" x14ac:dyDescent="0.25">
      <c r="A672" s="15" t="s">
        <v>352</v>
      </c>
      <c r="B672" s="15" t="s">
        <v>328</v>
      </c>
      <c r="C672" s="14" t="s">
        <v>169</v>
      </c>
      <c r="D672" s="15" t="s">
        <v>161</v>
      </c>
      <c r="H672" s="7">
        <v>6</v>
      </c>
      <c r="I672" s="7">
        <v>4</v>
      </c>
      <c r="J672" s="8">
        <f t="shared" si="10"/>
        <v>0.6</v>
      </c>
      <c r="K672" s="7" t="s">
        <v>30</v>
      </c>
      <c r="P672" s="7">
        <v>9</v>
      </c>
      <c r="Q672" s="7">
        <v>7</v>
      </c>
      <c r="T672" s="14" t="s">
        <v>169</v>
      </c>
    </row>
    <row r="673" spans="1:20" x14ac:dyDescent="0.25">
      <c r="A673" s="15" t="s">
        <v>352</v>
      </c>
      <c r="B673" s="15" t="s">
        <v>328</v>
      </c>
      <c r="C673" s="15" t="s">
        <v>355</v>
      </c>
      <c r="D673" s="15" t="s">
        <v>154</v>
      </c>
      <c r="H673" s="7">
        <v>6</v>
      </c>
      <c r="I673" s="7">
        <v>4</v>
      </c>
      <c r="J673" s="8">
        <f t="shared" si="10"/>
        <v>0.6</v>
      </c>
      <c r="K673" s="7" t="s">
        <v>30</v>
      </c>
      <c r="P673" s="7">
        <v>9</v>
      </c>
      <c r="Q673" s="7">
        <v>7</v>
      </c>
      <c r="T673" s="15" t="s">
        <v>292</v>
      </c>
    </row>
    <row r="674" spans="1:20" x14ac:dyDescent="0.25">
      <c r="A674" s="15" t="s">
        <v>352</v>
      </c>
      <c r="B674" s="15" t="s">
        <v>328</v>
      </c>
      <c r="C674" s="14" t="s">
        <v>174</v>
      </c>
      <c r="D674" s="15" t="s">
        <v>312</v>
      </c>
      <c r="H674" s="7">
        <v>6</v>
      </c>
      <c r="I674" s="7">
        <v>4</v>
      </c>
      <c r="J674" s="8">
        <f t="shared" si="10"/>
        <v>0.6</v>
      </c>
      <c r="K674" s="7" t="s">
        <v>30</v>
      </c>
      <c r="P674" s="7">
        <v>9</v>
      </c>
      <c r="Q674" s="7">
        <v>7</v>
      </c>
      <c r="T674" s="14" t="s">
        <v>174</v>
      </c>
    </row>
    <row r="675" spans="1:20" x14ac:dyDescent="0.25">
      <c r="A675" s="15" t="s">
        <v>352</v>
      </c>
      <c r="B675" s="15" t="s">
        <v>328</v>
      </c>
      <c r="C675" s="15" t="s">
        <v>339</v>
      </c>
      <c r="D675" s="15" t="s">
        <v>171</v>
      </c>
      <c r="H675" s="7">
        <v>5</v>
      </c>
      <c r="I675" s="7">
        <v>5</v>
      </c>
      <c r="J675" s="8">
        <f t="shared" si="10"/>
        <v>0.5</v>
      </c>
      <c r="K675" s="7" t="s">
        <v>30</v>
      </c>
      <c r="P675" s="7">
        <v>7</v>
      </c>
      <c r="Q675" s="7">
        <v>9</v>
      </c>
      <c r="T675" s="15" t="s">
        <v>176</v>
      </c>
    </row>
    <row r="676" spans="1:20" x14ac:dyDescent="0.25">
      <c r="A676" s="15" t="s">
        <v>352</v>
      </c>
      <c r="B676" s="15" t="s">
        <v>328</v>
      </c>
      <c r="C676" s="15" t="s">
        <v>216</v>
      </c>
      <c r="D676" s="15" t="s">
        <v>164</v>
      </c>
      <c r="H676" s="7">
        <v>4</v>
      </c>
      <c r="I676" s="7">
        <v>6</v>
      </c>
      <c r="J676" s="8">
        <f t="shared" si="10"/>
        <v>0.4</v>
      </c>
      <c r="K676" s="7" t="s">
        <v>30</v>
      </c>
      <c r="P676" s="7">
        <v>8</v>
      </c>
      <c r="Q676" s="7">
        <v>8</v>
      </c>
      <c r="T676" s="15" t="s">
        <v>216</v>
      </c>
    </row>
    <row r="677" spans="1:20" x14ac:dyDescent="0.25">
      <c r="A677" s="15" t="s">
        <v>352</v>
      </c>
      <c r="B677" s="15" t="s">
        <v>328</v>
      </c>
      <c r="C677" s="15" t="s">
        <v>333</v>
      </c>
      <c r="D677" s="15" t="s">
        <v>154</v>
      </c>
      <c r="H677" s="7">
        <v>4</v>
      </c>
      <c r="I677" s="7">
        <v>6</v>
      </c>
      <c r="J677" s="8">
        <f t="shared" si="10"/>
        <v>0.4</v>
      </c>
      <c r="K677" s="7" t="s">
        <v>30</v>
      </c>
      <c r="P677" s="7">
        <v>7</v>
      </c>
      <c r="Q677" s="7">
        <v>9</v>
      </c>
      <c r="T677" s="15" t="s">
        <v>332</v>
      </c>
    </row>
    <row r="678" spans="1:20" x14ac:dyDescent="0.25">
      <c r="A678" s="15" t="s">
        <v>352</v>
      </c>
      <c r="B678" s="15" t="s">
        <v>328</v>
      </c>
      <c r="C678" s="15" t="s">
        <v>188</v>
      </c>
      <c r="D678" s="15" t="s">
        <v>187</v>
      </c>
      <c r="H678" s="7">
        <v>6</v>
      </c>
      <c r="I678" s="7">
        <v>4</v>
      </c>
      <c r="J678" s="8">
        <f t="shared" si="10"/>
        <v>0.6</v>
      </c>
      <c r="P678" s="7">
        <v>8</v>
      </c>
      <c r="Q678" s="7">
        <v>8</v>
      </c>
      <c r="T678" s="15" t="s">
        <v>188</v>
      </c>
    </row>
    <row r="679" spans="1:20" x14ac:dyDescent="0.25">
      <c r="A679" s="15" t="s">
        <v>352</v>
      </c>
      <c r="B679" s="15" t="s">
        <v>328</v>
      </c>
      <c r="C679" s="14" t="s">
        <v>280</v>
      </c>
      <c r="D679" s="15" t="s">
        <v>164</v>
      </c>
      <c r="H679" s="7">
        <v>5</v>
      </c>
      <c r="I679" s="7">
        <v>5</v>
      </c>
      <c r="J679" s="8">
        <f t="shared" si="10"/>
        <v>0.5</v>
      </c>
      <c r="P679" s="7">
        <v>6</v>
      </c>
      <c r="Q679" s="7">
        <v>10</v>
      </c>
      <c r="T679" s="14" t="s">
        <v>279</v>
      </c>
    </row>
    <row r="680" spans="1:20" x14ac:dyDescent="0.25">
      <c r="A680" s="15" t="s">
        <v>352</v>
      </c>
      <c r="B680" s="15" t="s">
        <v>328</v>
      </c>
      <c r="C680" s="15" t="s">
        <v>356</v>
      </c>
      <c r="D680" s="15" t="s">
        <v>215</v>
      </c>
      <c r="H680" s="7">
        <v>4</v>
      </c>
      <c r="I680" s="7">
        <v>6</v>
      </c>
      <c r="J680" s="8">
        <f t="shared" si="10"/>
        <v>0.4</v>
      </c>
      <c r="P680" s="7">
        <v>7</v>
      </c>
      <c r="Q680" s="7">
        <v>9</v>
      </c>
      <c r="T680" s="15" t="s">
        <v>310</v>
      </c>
    </row>
    <row r="681" spans="1:20" x14ac:dyDescent="0.25">
      <c r="A681" s="15" t="s">
        <v>352</v>
      </c>
      <c r="B681" s="15" t="s">
        <v>328</v>
      </c>
      <c r="C681" s="15" t="s">
        <v>311</v>
      </c>
      <c r="D681" s="15" t="s">
        <v>157</v>
      </c>
      <c r="H681" s="7">
        <v>4</v>
      </c>
      <c r="I681" s="7">
        <v>6</v>
      </c>
      <c r="J681" s="8">
        <f t="shared" si="10"/>
        <v>0.4</v>
      </c>
      <c r="P681" s="7">
        <v>5</v>
      </c>
      <c r="Q681" s="7">
        <v>11</v>
      </c>
      <c r="T681" s="15" t="s">
        <v>311</v>
      </c>
    </row>
    <row r="682" spans="1:20" x14ac:dyDescent="0.25">
      <c r="A682" s="15" t="s">
        <v>352</v>
      </c>
      <c r="B682" s="15" t="s">
        <v>328</v>
      </c>
      <c r="C682" s="15" t="s">
        <v>357</v>
      </c>
      <c r="D682" s="15" t="s">
        <v>152</v>
      </c>
      <c r="H682" s="7">
        <v>3</v>
      </c>
      <c r="I682" s="7">
        <v>7</v>
      </c>
      <c r="J682" s="8">
        <f t="shared" si="10"/>
        <v>0.3</v>
      </c>
      <c r="P682" s="7">
        <v>4</v>
      </c>
      <c r="Q682" s="7">
        <v>12</v>
      </c>
      <c r="T682" s="15" t="s">
        <v>268</v>
      </c>
    </row>
    <row r="683" spans="1:20" x14ac:dyDescent="0.25">
      <c r="A683" s="15" t="s">
        <v>352</v>
      </c>
      <c r="B683" s="15" t="s">
        <v>328</v>
      </c>
      <c r="C683" s="14" t="s">
        <v>276</v>
      </c>
      <c r="D683" s="15" t="s">
        <v>187</v>
      </c>
      <c r="H683" s="7">
        <v>2</v>
      </c>
      <c r="I683" s="7">
        <v>8</v>
      </c>
      <c r="J683" s="8">
        <f t="shared" si="10"/>
        <v>0.2</v>
      </c>
      <c r="P683" s="7">
        <v>3</v>
      </c>
      <c r="Q683" s="7">
        <v>13</v>
      </c>
      <c r="T683" s="14" t="s">
        <v>276</v>
      </c>
    </row>
    <row r="684" spans="1:20" x14ac:dyDescent="0.25">
      <c r="A684" s="15" t="s">
        <v>352</v>
      </c>
      <c r="B684" s="15" t="s">
        <v>328</v>
      </c>
      <c r="C684" s="15" t="s">
        <v>316</v>
      </c>
      <c r="D684" s="15" t="s">
        <v>173</v>
      </c>
      <c r="H684" s="7">
        <v>0</v>
      </c>
      <c r="I684" s="7">
        <v>10</v>
      </c>
      <c r="J684" s="8">
        <f t="shared" si="10"/>
        <v>0</v>
      </c>
      <c r="P684" s="7">
        <v>2</v>
      </c>
      <c r="Q684" s="7">
        <v>14</v>
      </c>
      <c r="T684" s="15" t="s">
        <v>316</v>
      </c>
    </row>
    <row r="685" spans="1:20" x14ac:dyDescent="0.25">
      <c r="A685" s="15" t="s">
        <v>352</v>
      </c>
      <c r="B685" s="15" t="s">
        <v>328</v>
      </c>
      <c r="C685" s="15" t="s">
        <v>250</v>
      </c>
      <c r="D685" s="15" t="s">
        <v>251</v>
      </c>
      <c r="H685" s="7">
        <v>0</v>
      </c>
      <c r="I685" s="7">
        <v>10</v>
      </c>
      <c r="J685" s="8">
        <f t="shared" si="10"/>
        <v>0</v>
      </c>
      <c r="P685" s="7">
        <v>1</v>
      </c>
      <c r="Q685" s="7">
        <v>15</v>
      </c>
      <c r="T685" s="14" t="s">
        <v>250</v>
      </c>
    </row>
    <row r="686" spans="1:20" x14ac:dyDescent="0.25">
      <c r="A686" s="15" t="s">
        <v>358</v>
      </c>
      <c r="B686" s="15" t="s">
        <v>359</v>
      </c>
      <c r="C686" s="15" t="s">
        <v>188</v>
      </c>
      <c r="D686" s="15" t="s">
        <v>187</v>
      </c>
      <c r="G686" s="7" t="s">
        <v>30</v>
      </c>
      <c r="H686" s="7">
        <v>10</v>
      </c>
      <c r="I686" s="7">
        <v>4</v>
      </c>
      <c r="J686" s="8">
        <f t="shared" si="10"/>
        <v>0.7142857142857143</v>
      </c>
      <c r="L686" s="7" t="s">
        <v>30</v>
      </c>
      <c r="M686" s="7" t="s">
        <v>30</v>
      </c>
      <c r="T686" s="15" t="s">
        <v>188</v>
      </c>
    </row>
    <row r="687" spans="1:20" x14ac:dyDescent="0.25">
      <c r="A687" s="15" t="s">
        <v>358</v>
      </c>
      <c r="B687" s="15" t="s">
        <v>359</v>
      </c>
      <c r="C687" s="15" t="s">
        <v>347</v>
      </c>
      <c r="D687" s="15" t="s">
        <v>154</v>
      </c>
      <c r="H687" s="7">
        <v>10</v>
      </c>
      <c r="I687" s="7">
        <v>4</v>
      </c>
      <c r="J687" s="8">
        <f t="shared" si="10"/>
        <v>0.7142857142857143</v>
      </c>
      <c r="L687" s="7" t="s">
        <v>30</v>
      </c>
      <c r="M687" s="7" t="s">
        <v>30</v>
      </c>
      <c r="N687" s="7" t="s">
        <v>30</v>
      </c>
      <c r="T687" s="14" t="s">
        <v>581</v>
      </c>
    </row>
    <row r="688" spans="1:20" x14ac:dyDescent="0.25">
      <c r="A688" s="15" t="s">
        <v>358</v>
      </c>
      <c r="B688" s="15" t="s">
        <v>359</v>
      </c>
      <c r="C688" s="14" t="s">
        <v>162</v>
      </c>
      <c r="D688" s="15" t="s">
        <v>152</v>
      </c>
      <c r="G688" s="7" t="s">
        <v>30</v>
      </c>
      <c r="H688" s="7">
        <v>9</v>
      </c>
      <c r="I688" s="7">
        <v>5</v>
      </c>
      <c r="J688" s="8">
        <f t="shared" si="10"/>
        <v>0.6428571428571429</v>
      </c>
      <c r="L688" s="7" t="s">
        <v>30</v>
      </c>
      <c r="M688" s="7" t="s">
        <v>30</v>
      </c>
      <c r="N688" s="7" t="s">
        <v>30</v>
      </c>
      <c r="O688" s="16" t="s">
        <v>30</v>
      </c>
      <c r="T688" s="15" t="s">
        <v>162</v>
      </c>
    </row>
    <row r="689" spans="1:20" x14ac:dyDescent="0.25">
      <c r="A689" s="15" t="s">
        <v>358</v>
      </c>
      <c r="B689" s="15" t="s">
        <v>359</v>
      </c>
      <c r="C689" s="15" t="s">
        <v>331</v>
      </c>
      <c r="D689" s="15" t="s">
        <v>154</v>
      </c>
      <c r="G689" s="7" t="s">
        <v>30</v>
      </c>
      <c r="H689" s="7">
        <v>9</v>
      </c>
      <c r="I689" s="7">
        <v>5</v>
      </c>
      <c r="J689" s="8">
        <f t="shared" si="10"/>
        <v>0.6428571428571429</v>
      </c>
      <c r="L689" s="7" t="s">
        <v>30</v>
      </c>
      <c r="M689" s="7" t="s">
        <v>30</v>
      </c>
      <c r="T689" s="14" t="s">
        <v>155</v>
      </c>
    </row>
    <row r="690" spans="1:20" x14ac:dyDescent="0.25">
      <c r="A690" s="15" t="s">
        <v>358</v>
      </c>
      <c r="B690" s="15" t="s">
        <v>359</v>
      </c>
      <c r="C690" s="15" t="s">
        <v>360</v>
      </c>
      <c r="D690" s="15" t="s">
        <v>361</v>
      </c>
      <c r="F690" s="7" t="s">
        <v>30</v>
      </c>
      <c r="H690" s="7">
        <v>0</v>
      </c>
      <c r="I690" s="7">
        <v>0</v>
      </c>
      <c r="J690" s="8" t="e">
        <f t="shared" si="10"/>
        <v>#DIV/0!</v>
      </c>
      <c r="T690" s="15" t="s">
        <v>360</v>
      </c>
    </row>
    <row r="691" spans="1:20" x14ac:dyDescent="0.25">
      <c r="A691" s="15" t="s">
        <v>358</v>
      </c>
      <c r="B691" s="15" t="s">
        <v>359</v>
      </c>
      <c r="C691" s="15" t="s">
        <v>363</v>
      </c>
      <c r="D691" s="15" t="s">
        <v>364</v>
      </c>
      <c r="F691" s="7" t="s">
        <v>30</v>
      </c>
      <c r="H691" s="7">
        <v>0</v>
      </c>
      <c r="I691" s="7">
        <v>0</v>
      </c>
      <c r="J691" s="8" t="e">
        <f t="shared" si="10"/>
        <v>#DIV/0!</v>
      </c>
      <c r="T691" s="15" t="s">
        <v>362</v>
      </c>
    </row>
    <row r="692" spans="1:20" x14ac:dyDescent="0.25">
      <c r="A692" s="15" t="s">
        <v>358</v>
      </c>
      <c r="B692" s="15" t="s">
        <v>359</v>
      </c>
      <c r="C692" s="14" t="s">
        <v>301</v>
      </c>
      <c r="D692" s="15" t="s">
        <v>251</v>
      </c>
      <c r="F692" s="7" t="s">
        <v>30</v>
      </c>
      <c r="G692" s="7" t="s">
        <v>30</v>
      </c>
      <c r="H692" s="7">
        <v>0</v>
      </c>
      <c r="I692" s="7">
        <v>0</v>
      </c>
      <c r="J692" s="8" t="e">
        <f t="shared" si="10"/>
        <v>#DIV/0!</v>
      </c>
      <c r="T692" s="14" t="s">
        <v>301</v>
      </c>
    </row>
    <row r="693" spans="1:20" x14ac:dyDescent="0.25">
      <c r="A693" s="15" t="s">
        <v>358</v>
      </c>
      <c r="B693" s="15" t="s">
        <v>359</v>
      </c>
      <c r="C693" s="15" t="s">
        <v>365</v>
      </c>
      <c r="D693" s="15" t="s">
        <v>366</v>
      </c>
      <c r="F693" s="7" t="s">
        <v>30</v>
      </c>
      <c r="H693" s="7">
        <v>0</v>
      </c>
      <c r="I693" s="7">
        <v>0</v>
      </c>
      <c r="J693" s="8" t="e">
        <f t="shared" si="10"/>
        <v>#DIV/0!</v>
      </c>
      <c r="T693" s="15" t="s">
        <v>365</v>
      </c>
    </row>
    <row r="694" spans="1:20" x14ac:dyDescent="0.25">
      <c r="A694" s="15" t="s">
        <v>358</v>
      </c>
      <c r="B694" s="15" t="s">
        <v>359</v>
      </c>
      <c r="C694" s="15" t="s">
        <v>367</v>
      </c>
      <c r="D694" s="15" t="s">
        <v>368</v>
      </c>
      <c r="F694" s="7" t="s">
        <v>30</v>
      </c>
      <c r="H694" s="7">
        <v>0</v>
      </c>
      <c r="I694" s="7">
        <v>0</v>
      </c>
      <c r="J694" s="8" t="e">
        <f t="shared" si="10"/>
        <v>#DIV/0!</v>
      </c>
      <c r="T694" s="15" t="s">
        <v>367</v>
      </c>
    </row>
    <row r="695" spans="1:20" x14ac:dyDescent="0.25">
      <c r="A695" s="15" t="s">
        <v>358</v>
      </c>
      <c r="B695" s="15" t="s">
        <v>359</v>
      </c>
      <c r="C695" s="15" t="s">
        <v>369</v>
      </c>
      <c r="D695" s="15" t="s">
        <v>215</v>
      </c>
      <c r="F695" s="7" t="s">
        <v>30</v>
      </c>
      <c r="G695" s="7" t="s">
        <v>30</v>
      </c>
      <c r="H695" s="7">
        <v>0</v>
      </c>
      <c r="I695" s="7">
        <v>0</v>
      </c>
      <c r="J695" s="8" t="e">
        <f t="shared" si="10"/>
        <v>#DIV/0!</v>
      </c>
      <c r="T695" s="15" t="s">
        <v>369</v>
      </c>
    </row>
    <row r="696" spans="1:20" x14ac:dyDescent="0.25">
      <c r="A696" s="15" t="s">
        <v>358</v>
      </c>
      <c r="B696" s="15" t="s">
        <v>359</v>
      </c>
      <c r="C696" s="15" t="s">
        <v>370</v>
      </c>
      <c r="D696" s="15" t="s">
        <v>371</v>
      </c>
      <c r="F696" s="7" t="s">
        <v>30</v>
      </c>
      <c r="G696" s="7" t="s">
        <v>30</v>
      </c>
      <c r="H696" s="7">
        <v>0</v>
      </c>
      <c r="I696" s="7">
        <v>0</v>
      </c>
      <c r="J696" s="8" t="e">
        <f t="shared" si="10"/>
        <v>#DIV/0!</v>
      </c>
      <c r="T696" s="15" t="s">
        <v>370</v>
      </c>
    </row>
    <row r="697" spans="1:20" x14ac:dyDescent="0.25">
      <c r="A697" s="15" t="s">
        <v>358</v>
      </c>
      <c r="B697" s="15" t="s">
        <v>359</v>
      </c>
      <c r="C697" s="15" t="s">
        <v>373</v>
      </c>
      <c r="D697" s="15" t="s">
        <v>374</v>
      </c>
      <c r="F697" s="7" t="s">
        <v>30</v>
      </c>
      <c r="H697" s="7">
        <v>0</v>
      </c>
      <c r="I697" s="7">
        <v>0</v>
      </c>
      <c r="J697" s="8" t="e">
        <f t="shared" si="10"/>
        <v>#DIV/0!</v>
      </c>
      <c r="T697" s="15" t="s">
        <v>372</v>
      </c>
    </row>
    <row r="698" spans="1:20" x14ac:dyDescent="0.25">
      <c r="A698" s="15" t="s">
        <v>358</v>
      </c>
      <c r="B698" s="15" t="s">
        <v>359</v>
      </c>
      <c r="C698" s="15" t="s">
        <v>375</v>
      </c>
      <c r="D698" s="15" t="s">
        <v>376</v>
      </c>
      <c r="F698" s="7" t="s">
        <v>30</v>
      </c>
      <c r="G698" s="7" t="s">
        <v>30</v>
      </c>
      <c r="H698" s="7">
        <v>0</v>
      </c>
      <c r="I698" s="7">
        <v>0</v>
      </c>
      <c r="J698" s="8" t="e">
        <f t="shared" si="10"/>
        <v>#DIV/0!</v>
      </c>
      <c r="T698" s="15" t="s">
        <v>375</v>
      </c>
    </row>
    <row r="699" spans="1:20" x14ac:dyDescent="0.25">
      <c r="A699" s="15" t="s">
        <v>358</v>
      </c>
      <c r="B699" s="15" t="s">
        <v>359</v>
      </c>
      <c r="C699" s="15" t="s">
        <v>377</v>
      </c>
      <c r="D699" s="15" t="s">
        <v>378</v>
      </c>
      <c r="F699" s="7" t="s">
        <v>30</v>
      </c>
      <c r="G699" s="7" t="s">
        <v>30</v>
      </c>
      <c r="H699" s="7">
        <v>0</v>
      </c>
      <c r="I699" s="7">
        <v>0</v>
      </c>
      <c r="J699" s="8" t="e">
        <f t="shared" si="10"/>
        <v>#DIV/0!</v>
      </c>
      <c r="T699" s="15" t="s">
        <v>377</v>
      </c>
    </row>
    <row r="700" spans="1:20" x14ac:dyDescent="0.25">
      <c r="A700" s="15" t="s">
        <v>358</v>
      </c>
      <c r="B700" s="15" t="s">
        <v>359</v>
      </c>
      <c r="C700" s="15" t="s">
        <v>379</v>
      </c>
      <c r="D700" s="15" t="s">
        <v>380</v>
      </c>
      <c r="F700" s="7" t="s">
        <v>30</v>
      </c>
      <c r="H700" s="7">
        <v>0</v>
      </c>
      <c r="I700" s="7">
        <v>0</v>
      </c>
      <c r="J700" s="8" t="e">
        <f t="shared" si="10"/>
        <v>#DIV/0!</v>
      </c>
      <c r="T700" s="15" t="s">
        <v>379</v>
      </c>
    </row>
    <row r="701" spans="1:20" x14ac:dyDescent="0.25">
      <c r="A701" s="15" t="s">
        <v>358</v>
      </c>
      <c r="B701" s="15" t="s">
        <v>359</v>
      </c>
      <c r="C701" s="15" t="s">
        <v>381</v>
      </c>
      <c r="D701" s="15" t="s">
        <v>382</v>
      </c>
      <c r="F701" s="7" t="s">
        <v>30</v>
      </c>
      <c r="H701" s="7">
        <v>0</v>
      </c>
      <c r="I701" s="7">
        <v>0</v>
      </c>
      <c r="J701" s="8" t="e">
        <f t="shared" si="10"/>
        <v>#DIV/0!</v>
      </c>
      <c r="T701" s="15" t="s">
        <v>381</v>
      </c>
    </row>
    <row r="702" spans="1:20" x14ac:dyDescent="0.25">
      <c r="A702" s="15" t="s">
        <v>358</v>
      </c>
      <c r="B702" s="15" t="s">
        <v>359</v>
      </c>
      <c r="C702" s="15" t="s">
        <v>384</v>
      </c>
      <c r="D702" s="15" t="s">
        <v>385</v>
      </c>
      <c r="F702" s="7" t="s">
        <v>30</v>
      </c>
      <c r="H702" s="7">
        <v>0</v>
      </c>
      <c r="I702" s="7">
        <v>0</v>
      </c>
      <c r="J702" s="8" t="e">
        <f t="shared" si="10"/>
        <v>#DIV/0!</v>
      </c>
      <c r="T702" s="15" t="s">
        <v>383</v>
      </c>
    </row>
    <row r="703" spans="1:20" x14ac:dyDescent="0.25">
      <c r="A703" s="15" t="s">
        <v>358</v>
      </c>
      <c r="B703" s="15" t="s">
        <v>359</v>
      </c>
      <c r="C703" s="15" t="s">
        <v>386</v>
      </c>
      <c r="D703" s="15" t="s">
        <v>161</v>
      </c>
      <c r="F703" s="7" t="s">
        <v>30</v>
      </c>
      <c r="G703" s="7" t="s">
        <v>30</v>
      </c>
      <c r="H703" s="7">
        <v>0</v>
      </c>
      <c r="I703" s="7">
        <v>0</v>
      </c>
      <c r="J703" s="8" t="e">
        <f t="shared" si="10"/>
        <v>#DIV/0!</v>
      </c>
      <c r="T703" s="15" t="s">
        <v>386</v>
      </c>
    </row>
    <row r="704" spans="1:20" x14ac:dyDescent="0.25">
      <c r="A704" s="15" t="s">
        <v>358</v>
      </c>
      <c r="B704" s="15" t="s">
        <v>359</v>
      </c>
      <c r="C704" s="14" t="s">
        <v>158</v>
      </c>
      <c r="D704" s="15" t="s">
        <v>159</v>
      </c>
      <c r="F704" s="7" t="s">
        <v>30</v>
      </c>
      <c r="G704" s="7" t="s">
        <v>30</v>
      </c>
      <c r="H704" s="7">
        <v>0</v>
      </c>
      <c r="I704" s="7">
        <v>0</v>
      </c>
      <c r="J704" s="8" t="e">
        <f t="shared" si="10"/>
        <v>#DIV/0!</v>
      </c>
      <c r="T704" s="14" t="s">
        <v>158</v>
      </c>
    </row>
    <row r="705" spans="1:20" x14ac:dyDescent="0.25">
      <c r="A705" s="15" t="s">
        <v>358</v>
      </c>
      <c r="B705" s="15" t="s">
        <v>359</v>
      </c>
      <c r="C705" s="15" t="s">
        <v>387</v>
      </c>
      <c r="D705" s="15" t="s">
        <v>388</v>
      </c>
      <c r="F705" s="7" t="s">
        <v>30</v>
      </c>
      <c r="H705" s="7">
        <v>0</v>
      </c>
      <c r="I705" s="7">
        <v>0</v>
      </c>
      <c r="J705" s="8" t="e">
        <f t="shared" si="10"/>
        <v>#DIV/0!</v>
      </c>
      <c r="T705" s="15" t="s">
        <v>387</v>
      </c>
    </row>
    <row r="706" spans="1:20" x14ac:dyDescent="0.25">
      <c r="A706" s="15" t="s">
        <v>358</v>
      </c>
      <c r="B706" s="15" t="s">
        <v>359</v>
      </c>
      <c r="C706" s="15" t="s">
        <v>389</v>
      </c>
      <c r="D706" s="15" t="s">
        <v>390</v>
      </c>
      <c r="F706" s="7" t="s">
        <v>30</v>
      </c>
      <c r="H706" s="7">
        <v>0</v>
      </c>
      <c r="I706" s="7">
        <v>0</v>
      </c>
      <c r="J706" s="8" t="e">
        <f t="shared" ref="J706:J769" si="11">H706/SUM(H706:I706)</f>
        <v>#DIV/0!</v>
      </c>
      <c r="T706" s="15" t="s">
        <v>389</v>
      </c>
    </row>
    <row r="707" spans="1:20" x14ac:dyDescent="0.25">
      <c r="A707" s="15" t="s">
        <v>358</v>
      </c>
      <c r="B707" s="15" t="s">
        <v>359</v>
      </c>
      <c r="C707" s="15" t="s">
        <v>392</v>
      </c>
      <c r="D707" s="15" t="s">
        <v>393</v>
      </c>
      <c r="F707" s="7" t="s">
        <v>30</v>
      </c>
      <c r="H707" s="7">
        <v>0</v>
      </c>
      <c r="I707" s="7">
        <v>0</v>
      </c>
      <c r="J707" s="8" t="e">
        <f t="shared" si="11"/>
        <v>#DIV/0!</v>
      </c>
      <c r="T707" s="15" t="s">
        <v>391</v>
      </c>
    </row>
    <row r="708" spans="1:20" x14ac:dyDescent="0.25">
      <c r="A708" s="15" t="s">
        <v>358</v>
      </c>
      <c r="B708" s="15" t="s">
        <v>359</v>
      </c>
      <c r="C708" s="15" t="s">
        <v>394</v>
      </c>
      <c r="D708" s="15" t="s">
        <v>220</v>
      </c>
      <c r="F708" s="7" t="s">
        <v>30</v>
      </c>
      <c r="H708" s="7">
        <v>0</v>
      </c>
      <c r="I708" s="7">
        <v>0</v>
      </c>
      <c r="J708" s="8" t="e">
        <f t="shared" si="11"/>
        <v>#DIV/0!</v>
      </c>
      <c r="T708" s="15" t="s">
        <v>394</v>
      </c>
    </row>
    <row r="709" spans="1:20" x14ac:dyDescent="0.25">
      <c r="A709" s="15" t="s">
        <v>358</v>
      </c>
      <c r="B709" s="15" t="s">
        <v>359</v>
      </c>
      <c r="C709" s="15" t="s">
        <v>396</v>
      </c>
      <c r="D709" s="15" t="s">
        <v>397</v>
      </c>
      <c r="F709" s="7" t="s">
        <v>30</v>
      </c>
      <c r="G709" s="7" t="s">
        <v>30</v>
      </c>
      <c r="H709" s="7">
        <v>0</v>
      </c>
      <c r="I709" s="7">
        <v>0</v>
      </c>
      <c r="J709" s="8" t="e">
        <f t="shared" si="11"/>
        <v>#DIV/0!</v>
      </c>
      <c r="T709" s="15" t="s">
        <v>395</v>
      </c>
    </row>
    <row r="710" spans="1:20" x14ac:dyDescent="0.25">
      <c r="A710" s="15" t="s">
        <v>358</v>
      </c>
      <c r="B710" s="15" t="s">
        <v>359</v>
      </c>
      <c r="C710" s="15" t="s">
        <v>399</v>
      </c>
      <c r="D710" s="15" t="s">
        <v>400</v>
      </c>
      <c r="F710" s="7" t="s">
        <v>30</v>
      </c>
      <c r="G710" s="7" t="s">
        <v>30</v>
      </c>
      <c r="H710" s="7">
        <v>0</v>
      </c>
      <c r="I710" s="7">
        <v>0</v>
      </c>
      <c r="J710" s="8" t="e">
        <f t="shared" si="11"/>
        <v>#DIV/0!</v>
      </c>
      <c r="T710" s="15" t="s">
        <v>398</v>
      </c>
    </row>
    <row r="711" spans="1:20" x14ac:dyDescent="0.25">
      <c r="A711" s="15" t="s">
        <v>358</v>
      </c>
      <c r="B711" s="15" t="s">
        <v>359</v>
      </c>
      <c r="C711" s="15" t="s">
        <v>353</v>
      </c>
      <c r="D711" s="15" t="s">
        <v>243</v>
      </c>
      <c r="G711" s="7" t="s">
        <v>30</v>
      </c>
      <c r="H711" s="7">
        <v>0</v>
      </c>
      <c r="I711" s="7">
        <v>0</v>
      </c>
      <c r="J711" s="8" t="e">
        <f t="shared" si="11"/>
        <v>#DIV/0!</v>
      </c>
      <c r="T711" s="15" t="s">
        <v>241</v>
      </c>
    </row>
    <row r="712" spans="1:20" x14ac:dyDescent="0.25">
      <c r="A712" s="15" t="s">
        <v>358</v>
      </c>
      <c r="B712" s="15" t="s">
        <v>359</v>
      </c>
      <c r="C712" s="15" t="s">
        <v>401</v>
      </c>
      <c r="D712" s="15" t="s">
        <v>324</v>
      </c>
      <c r="F712" s="7" t="s">
        <v>30</v>
      </c>
      <c r="H712" s="7">
        <v>0</v>
      </c>
      <c r="I712" s="7">
        <v>0</v>
      </c>
      <c r="J712" s="8" t="e">
        <f t="shared" si="11"/>
        <v>#DIV/0!</v>
      </c>
      <c r="T712" s="15" t="s">
        <v>401</v>
      </c>
    </row>
    <row r="713" spans="1:20" x14ac:dyDescent="0.25">
      <c r="A713" s="15" t="s">
        <v>358</v>
      </c>
      <c r="B713" s="15" t="s">
        <v>359</v>
      </c>
      <c r="C713" s="15" t="s">
        <v>402</v>
      </c>
      <c r="D713" s="15" t="s">
        <v>319</v>
      </c>
      <c r="F713" s="7" t="s">
        <v>30</v>
      </c>
      <c r="G713" s="7" t="s">
        <v>30</v>
      </c>
      <c r="H713" s="7">
        <v>0</v>
      </c>
      <c r="I713" s="7">
        <v>0</v>
      </c>
      <c r="J713" s="8" t="e">
        <f t="shared" si="11"/>
        <v>#DIV/0!</v>
      </c>
      <c r="T713" s="15" t="s">
        <v>402</v>
      </c>
    </row>
    <row r="714" spans="1:20" x14ac:dyDescent="0.25">
      <c r="A714" s="15" t="s">
        <v>358</v>
      </c>
      <c r="B714" s="15" t="s">
        <v>359</v>
      </c>
      <c r="C714" s="15" t="s">
        <v>232</v>
      </c>
      <c r="D714" s="15" t="s">
        <v>233</v>
      </c>
      <c r="F714" s="7" t="s">
        <v>30</v>
      </c>
      <c r="G714" s="7" t="s">
        <v>30</v>
      </c>
      <c r="H714" s="7">
        <v>0</v>
      </c>
      <c r="I714" s="7">
        <v>0</v>
      </c>
      <c r="J714" s="8" t="e">
        <f t="shared" si="11"/>
        <v>#DIV/0!</v>
      </c>
      <c r="T714" s="15" t="s">
        <v>231</v>
      </c>
    </row>
    <row r="715" spans="1:20" x14ac:dyDescent="0.25">
      <c r="A715" s="15" t="s">
        <v>358</v>
      </c>
      <c r="B715" s="15" t="s">
        <v>359</v>
      </c>
      <c r="C715" s="14" t="s">
        <v>174</v>
      </c>
      <c r="D715" s="15" t="s">
        <v>312</v>
      </c>
      <c r="F715" s="7" t="s">
        <v>30</v>
      </c>
      <c r="G715" s="7" t="s">
        <v>30</v>
      </c>
      <c r="H715" s="7">
        <v>0</v>
      </c>
      <c r="I715" s="7">
        <v>0</v>
      </c>
      <c r="J715" s="8" t="e">
        <f t="shared" si="11"/>
        <v>#DIV/0!</v>
      </c>
      <c r="T715" s="14" t="s">
        <v>174</v>
      </c>
    </row>
    <row r="716" spans="1:20" x14ac:dyDescent="0.25">
      <c r="A716" s="15" t="s">
        <v>358</v>
      </c>
      <c r="B716" s="15" t="s">
        <v>359</v>
      </c>
      <c r="C716" s="14" t="s">
        <v>149</v>
      </c>
      <c r="D716" s="15" t="s">
        <v>152</v>
      </c>
      <c r="H716" s="7">
        <v>10</v>
      </c>
      <c r="I716" s="7">
        <v>4</v>
      </c>
      <c r="J716" s="8">
        <f t="shared" si="11"/>
        <v>0.7142857142857143</v>
      </c>
      <c r="L716" s="7" t="s">
        <v>30</v>
      </c>
      <c r="T716" s="14" t="s">
        <v>149</v>
      </c>
    </row>
    <row r="717" spans="1:20" x14ac:dyDescent="0.25">
      <c r="A717" s="15" t="s">
        <v>358</v>
      </c>
      <c r="B717" s="15" t="s">
        <v>359</v>
      </c>
      <c r="C717" s="15" t="s">
        <v>278</v>
      </c>
      <c r="D717" s="15" t="s">
        <v>171</v>
      </c>
      <c r="G717" s="7" t="s">
        <v>30</v>
      </c>
      <c r="H717" s="7">
        <v>10</v>
      </c>
      <c r="I717" s="7">
        <v>4</v>
      </c>
      <c r="J717" s="8">
        <f t="shared" si="11"/>
        <v>0.7142857142857143</v>
      </c>
      <c r="L717" s="7" t="s">
        <v>30</v>
      </c>
      <c r="T717" s="15" t="s">
        <v>278</v>
      </c>
    </row>
    <row r="718" spans="1:20" x14ac:dyDescent="0.25">
      <c r="A718" s="15" t="s">
        <v>358</v>
      </c>
      <c r="B718" s="15" t="s">
        <v>359</v>
      </c>
      <c r="C718" s="14" t="s">
        <v>280</v>
      </c>
      <c r="D718" s="15" t="s">
        <v>164</v>
      </c>
      <c r="F718" s="7" t="s">
        <v>30</v>
      </c>
      <c r="G718" s="7" t="s">
        <v>30</v>
      </c>
      <c r="H718" s="7">
        <v>8</v>
      </c>
      <c r="I718" s="7">
        <v>6</v>
      </c>
      <c r="J718" s="8">
        <f t="shared" si="11"/>
        <v>0.5714285714285714</v>
      </c>
      <c r="L718" s="7" t="s">
        <v>30</v>
      </c>
      <c r="T718" s="14" t="s">
        <v>279</v>
      </c>
    </row>
    <row r="719" spans="1:20" x14ac:dyDescent="0.25">
      <c r="A719" s="15" t="s">
        <v>358</v>
      </c>
      <c r="B719" s="15" t="s">
        <v>359</v>
      </c>
      <c r="C719" s="14" t="s">
        <v>257</v>
      </c>
      <c r="D719" s="15" t="s">
        <v>215</v>
      </c>
      <c r="G719" s="7" t="s">
        <v>30</v>
      </c>
      <c r="H719" s="7">
        <v>6</v>
      </c>
      <c r="I719" s="7">
        <v>8</v>
      </c>
      <c r="J719" s="8">
        <f t="shared" si="11"/>
        <v>0.42857142857142855</v>
      </c>
      <c r="T719" s="14" t="s">
        <v>257</v>
      </c>
    </row>
    <row r="720" spans="1:20" x14ac:dyDescent="0.25">
      <c r="A720" s="15" t="s">
        <v>358</v>
      </c>
      <c r="B720" s="15" t="s">
        <v>359</v>
      </c>
      <c r="C720" s="15" t="s">
        <v>403</v>
      </c>
      <c r="D720" s="15" t="s">
        <v>164</v>
      </c>
      <c r="H720" s="7">
        <v>6</v>
      </c>
      <c r="I720" s="7">
        <v>8</v>
      </c>
      <c r="J720" s="8">
        <f t="shared" si="11"/>
        <v>0.42857142857142855</v>
      </c>
      <c r="T720" s="15" t="s">
        <v>403</v>
      </c>
    </row>
    <row r="721" spans="1:20" x14ac:dyDescent="0.25">
      <c r="A721" s="15" t="s">
        <v>358</v>
      </c>
      <c r="B721" s="15" t="s">
        <v>359</v>
      </c>
      <c r="C721" s="14" t="s">
        <v>169</v>
      </c>
      <c r="D721" s="15" t="s">
        <v>161</v>
      </c>
      <c r="G721" s="7" t="s">
        <v>30</v>
      </c>
      <c r="H721" s="7">
        <v>6</v>
      </c>
      <c r="I721" s="7">
        <v>8</v>
      </c>
      <c r="J721" s="8">
        <f t="shared" si="11"/>
        <v>0.42857142857142855</v>
      </c>
      <c r="T721" s="14" t="s">
        <v>169</v>
      </c>
    </row>
    <row r="722" spans="1:20" x14ac:dyDescent="0.25">
      <c r="A722" s="15" t="s">
        <v>358</v>
      </c>
      <c r="B722" s="15" t="s">
        <v>359</v>
      </c>
      <c r="C722" s="15" t="s">
        <v>404</v>
      </c>
      <c r="D722" s="15" t="s">
        <v>171</v>
      </c>
      <c r="G722" s="7" t="s">
        <v>30</v>
      </c>
      <c r="H722" s="7">
        <v>6</v>
      </c>
      <c r="I722" s="7">
        <v>8</v>
      </c>
      <c r="J722" s="8">
        <f t="shared" si="11"/>
        <v>0.42857142857142855</v>
      </c>
      <c r="T722" s="15" t="s">
        <v>176</v>
      </c>
    </row>
    <row r="723" spans="1:20" x14ac:dyDescent="0.25">
      <c r="A723" s="15" t="s">
        <v>358</v>
      </c>
      <c r="B723" s="15" t="s">
        <v>359</v>
      </c>
      <c r="C723" s="14" t="s">
        <v>201</v>
      </c>
      <c r="D723" s="15" t="s">
        <v>154</v>
      </c>
      <c r="G723" s="7" t="s">
        <v>30</v>
      </c>
      <c r="H723" s="7">
        <v>6</v>
      </c>
      <c r="I723" s="7">
        <v>8</v>
      </c>
      <c r="J723" s="8">
        <f t="shared" si="11"/>
        <v>0.42857142857142855</v>
      </c>
      <c r="T723" s="14" t="s">
        <v>201</v>
      </c>
    </row>
    <row r="724" spans="1:20" x14ac:dyDescent="0.25">
      <c r="A724" s="15" t="s">
        <v>358</v>
      </c>
      <c r="B724" s="15" t="s">
        <v>359</v>
      </c>
      <c r="C724" s="15" t="s">
        <v>311</v>
      </c>
      <c r="D724" s="15" t="s">
        <v>157</v>
      </c>
      <c r="G724" s="7" t="s">
        <v>30</v>
      </c>
      <c r="H724" s="7">
        <v>6</v>
      </c>
      <c r="I724" s="7">
        <v>8</v>
      </c>
      <c r="J724" s="8">
        <f t="shared" si="11"/>
        <v>0.42857142857142855</v>
      </c>
      <c r="L724" s="7" t="s">
        <v>30</v>
      </c>
      <c r="T724" s="15" t="s">
        <v>311</v>
      </c>
    </row>
    <row r="725" spans="1:20" x14ac:dyDescent="0.25">
      <c r="A725" s="15" t="s">
        <v>358</v>
      </c>
      <c r="B725" s="15" t="s">
        <v>359</v>
      </c>
      <c r="C725" s="15" t="s">
        <v>316</v>
      </c>
      <c r="D725" s="15" t="s">
        <v>173</v>
      </c>
      <c r="G725" s="7" t="s">
        <v>30</v>
      </c>
      <c r="H725" s="7">
        <v>5</v>
      </c>
      <c r="I725" s="7">
        <v>9</v>
      </c>
      <c r="J725" s="8">
        <f t="shared" si="11"/>
        <v>0.35714285714285715</v>
      </c>
      <c r="T725" s="15" t="s">
        <v>316</v>
      </c>
    </row>
    <row r="726" spans="1:20" x14ac:dyDescent="0.25">
      <c r="A726" s="15" t="s">
        <v>358</v>
      </c>
      <c r="B726" s="15" t="s">
        <v>359</v>
      </c>
      <c r="C726" s="15" t="s">
        <v>405</v>
      </c>
      <c r="D726" s="15" t="s">
        <v>152</v>
      </c>
      <c r="G726" s="7" t="s">
        <v>30</v>
      </c>
      <c r="H726" s="7">
        <v>3</v>
      </c>
      <c r="I726" s="7">
        <v>11</v>
      </c>
      <c r="J726" s="8">
        <f t="shared" si="11"/>
        <v>0.21428571428571427</v>
      </c>
      <c r="T726" s="15" t="s">
        <v>314</v>
      </c>
    </row>
    <row r="727" spans="1:20" x14ac:dyDescent="0.25">
      <c r="A727" s="15" t="s">
        <v>358</v>
      </c>
      <c r="B727" s="15" t="s">
        <v>359</v>
      </c>
      <c r="C727" s="15" t="s">
        <v>406</v>
      </c>
      <c r="D727" s="15" t="s">
        <v>326</v>
      </c>
      <c r="G727" s="7" t="s">
        <v>30</v>
      </c>
      <c r="H727" s="7">
        <v>2</v>
      </c>
      <c r="I727" s="7">
        <v>12</v>
      </c>
      <c r="J727" s="8">
        <f t="shared" si="11"/>
        <v>0.14285714285714285</v>
      </c>
      <c r="T727" s="15" t="s">
        <v>406</v>
      </c>
    </row>
    <row r="728" spans="1:20" x14ac:dyDescent="0.25">
      <c r="A728" s="15" t="s">
        <v>407</v>
      </c>
      <c r="B728" s="15" t="s">
        <v>359</v>
      </c>
      <c r="C728" s="15" t="s">
        <v>216</v>
      </c>
      <c r="D728" s="15" t="s">
        <v>164</v>
      </c>
      <c r="G728" s="7" t="s">
        <v>30</v>
      </c>
      <c r="H728" s="7">
        <v>10</v>
      </c>
      <c r="I728" s="7">
        <v>4</v>
      </c>
      <c r="J728" s="8">
        <f t="shared" si="11"/>
        <v>0.7142857142857143</v>
      </c>
      <c r="L728" s="7" t="s">
        <v>30</v>
      </c>
      <c r="M728" s="7" t="s">
        <v>30</v>
      </c>
      <c r="T728" s="15" t="s">
        <v>216</v>
      </c>
    </row>
    <row r="729" spans="1:20" x14ac:dyDescent="0.25">
      <c r="A729" s="15" t="s">
        <v>407</v>
      </c>
      <c r="B729" s="15" t="s">
        <v>359</v>
      </c>
      <c r="C729" s="14" t="s">
        <v>162</v>
      </c>
      <c r="D729" s="15" t="s">
        <v>152</v>
      </c>
      <c r="G729" s="7" t="s">
        <v>30</v>
      </c>
      <c r="H729" s="7">
        <v>10</v>
      </c>
      <c r="I729" s="7">
        <v>4</v>
      </c>
      <c r="J729" s="8">
        <f t="shared" si="11"/>
        <v>0.7142857142857143</v>
      </c>
      <c r="L729" s="7" t="s">
        <v>30</v>
      </c>
      <c r="M729" s="7" t="s">
        <v>30</v>
      </c>
      <c r="T729" s="15" t="s">
        <v>162</v>
      </c>
    </row>
    <row r="730" spans="1:20" x14ac:dyDescent="0.25">
      <c r="A730" s="15" t="s">
        <v>407</v>
      </c>
      <c r="B730" s="15" t="s">
        <v>359</v>
      </c>
      <c r="C730" s="14" t="s">
        <v>149</v>
      </c>
      <c r="D730" s="15" t="s">
        <v>152</v>
      </c>
      <c r="H730" s="7">
        <v>9</v>
      </c>
      <c r="I730" s="7">
        <v>5</v>
      </c>
      <c r="J730" s="8">
        <f t="shared" si="11"/>
        <v>0.6428571428571429</v>
      </c>
      <c r="L730" s="7" t="s">
        <v>30</v>
      </c>
      <c r="M730" s="7" t="s">
        <v>30</v>
      </c>
      <c r="N730" s="7" t="s">
        <v>30</v>
      </c>
      <c r="O730" s="16" t="s">
        <v>30</v>
      </c>
      <c r="T730" s="14" t="s">
        <v>149</v>
      </c>
    </row>
    <row r="731" spans="1:20" x14ac:dyDescent="0.25">
      <c r="A731" s="15" t="s">
        <v>407</v>
      </c>
      <c r="B731" s="15" t="s">
        <v>359</v>
      </c>
      <c r="C731" s="15" t="s">
        <v>331</v>
      </c>
      <c r="D731" s="15" t="s">
        <v>154</v>
      </c>
      <c r="H731" s="7">
        <v>9</v>
      </c>
      <c r="I731" s="7">
        <v>5</v>
      </c>
      <c r="J731" s="8">
        <f t="shared" si="11"/>
        <v>0.6428571428571429</v>
      </c>
      <c r="L731" s="7" t="s">
        <v>30</v>
      </c>
      <c r="M731" s="7" t="s">
        <v>30</v>
      </c>
      <c r="N731" s="7" t="s">
        <v>30</v>
      </c>
      <c r="T731" s="14" t="s">
        <v>155</v>
      </c>
    </row>
    <row r="732" spans="1:20" x14ac:dyDescent="0.25">
      <c r="A732" s="15" t="s">
        <v>407</v>
      </c>
      <c r="B732" s="15" t="s">
        <v>359</v>
      </c>
      <c r="C732" s="15" t="s">
        <v>408</v>
      </c>
      <c r="D732" s="15" t="s">
        <v>361</v>
      </c>
      <c r="F732" s="7" t="s">
        <v>30</v>
      </c>
      <c r="H732" s="7">
        <v>0</v>
      </c>
      <c r="I732" s="7">
        <v>0</v>
      </c>
      <c r="J732" s="8" t="e">
        <f t="shared" si="11"/>
        <v>#DIV/0!</v>
      </c>
      <c r="T732" s="15" t="s">
        <v>408</v>
      </c>
    </row>
    <row r="733" spans="1:20" x14ac:dyDescent="0.25">
      <c r="A733" s="15" t="s">
        <v>407</v>
      </c>
      <c r="B733" s="15" t="s">
        <v>359</v>
      </c>
      <c r="C733" s="15" t="s">
        <v>410</v>
      </c>
      <c r="D733" s="15" t="s">
        <v>364</v>
      </c>
      <c r="F733" s="7" t="s">
        <v>30</v>
      </c>
      <c r="H733" s="7">
        <v>0</v>
      </c>
      <c r="I733" s="7">
        <v>0</v>
      </c>
      <c r="J733" s="8" t="e">
        <f t="shared" si="11"/>
        <v>#DIV/0!</v>
      </c>
      <c r="T733" s="15" t="s">
        <v>409</v>
      </c>
    </row>
    <row r="734" spans="1:20" x14ac:dyDescent="0.25">
      <c r="A734" s="15" t="s">
        <v>407</v>
      </c>
      <c r="B734" s="15" t="s">
        <v>359</v>
      </c>
      <c r="C734" s="15" t="s">
        <v>412</v>
      </c>
      <c r="D734" s="15" t="s">
        <v>251</v>
      </c>
      <c r="G734" s="7" t="s">
        <v>30</v>
      </c>
      <c r="H734" s="7">
        <v>0</v>
      </c>
      <c r="I734" s="7">
        <v>0</v>
      </c>
      <c r="J734" s="8" t="e">
        <f t="shared" si="11"/>
        <v>#DIV/0!</v>
      </c>
      <c r="T734" s="15" t="s">
        <v>411</v>
      </c>
    </row>
    <row r="735" spans="1:20" x14ac:dyDescent="0.25">
      <c r="A735" s="15" t="s">
        <v>407</v>
      </c>
      <c r="B735" s="15" t="s">
        <v>359</v>
      </c>
      <c r="C735" s="15" t="s">
        <v>414</v>
      </c>
      <c r="D735" s="15" t="s">
        <v>366</v>
      </c>
      <c r="F735" s="7" t="s">
        <v>30</v>
      </c>
      <c r="H735" s="7">
        <v>0</v>
      </c>
      <c r="I735" s="7">
        <v>0</v>
      </c>
      <c r="J735" s="8" t="e">
        <f t="shared" si="11"/>
        <v>#DIV/0!</v>
      </c>
      <c r="T735" s="15" t="s">
        <v>413</v>
      </c>
    </row>
    <row r="736" spans="1:20" x14ac:dyDescent="0.25">
      <c r="A736" s="15" t="s">
        <v>407</v>
      </c>
      <c r="B736" s="15" t="s">
        <v>359</v>
      </c>
      <c r="C736" s="15" t="s">
        <v>415</v>
      </c>
      <c r="D736" s="15" t="s">
        <v>368</v>
      </c>
      <c r="F736" s="7" t="s">
        <v>30</v>
      </c>
      <c r="H736" s="7">
        <v>0</v>
      </c>
      <c r="I736" s="7">
        <v>0</v>
      </c>
      <c r="J736" s="8" t="e">
        <f t="shared" si="11"/>
        <v>#DIV/0!</v>
      </c>
      <c r="T736" s="15" t="s">
        <v>415</v>
      </c>
    </row>
    <row r="737" spans="1:20" x14ac:dyDescent="0.25">
      <c r="A737" s="15" t="s">
        <v>407</v>
      </c>
      <c r="B737" s="15" t="s">
        <v>359</v>
      </c>
      <c r="C737" s="15" t="s">
        <v>356</v>
      </c>
      <c r="D737" s="15" t="s">
        <v>215</v>
      </c>
      <c r="F737" s="7" t="s">
        <v>30</v>
      </c>
      <c r="G737" s="7" t="s">
        <v>30</v>
      </c>
      <c r="H737" s="7">
        <v>0</v>
      </c>
      <c r="I737" s="7">
        <v>0</v>
      </c>
      <c r="J737" s="8" t="e">
        <f t="shared" si="11"/>
        <v>#DIV/0!</v>
      </c>
      <c r="T737" s="15" t="s">
        <v>310</v>
      </c>
    </row>
    <row r="738" spans="1:20" x14ac:dyDescent="0.25">
      <c r="A738" s="15" t="s">
        <v>407</v>
      </c>
      <c r="B738" s="15" t="s">
        <v>359</v>
      </c>
      <c r="C738" s="15" t="s">
        <v>416</v>
      </c>
      <c r="D738" s="15" t="s">
        <v>371</v>
      </c>
      <c r="F738" s="7" t="s">
        <v>30</v>
      </c>
      <c r="G738" s="7" t="s">
        <v>30</v>
      </c>
      <c r="H738" s="7">
        <v>0</v>
      </c>
      <c r="I738" s="7">
        <v>0</v>
      </c>
      <c r="J738" s="8" t="e">
        <f t="shared" si="11"/>
        <v>#DIV/0!</v>
      </c>
      <c r="T738" s="15" t="s">
        <v>416</v>
      </c>
    </row>
    <row r="739" spans="1:20" x14ac:dyDescent="0.25">
      <c r="A739" s="15" t="s">
        <v>407</v>
      </c>
      <c r="B739" s="15" t="s">
        <v>359</v>
      </c>
      <c r="C739" s="15" t="s">
        <v>417</v>
      </c>
      <c r="D739" s="15" t="s">
        <v>374</v>
      </c>
      <c r="F739" s="7" t="s">
        <v>30</v>
      </c>
      <c r="G739" s="7" t="s">
        <v>30</v>
      </c>
      <c r="H739" s="7">
        <v>0</v>
      </c>
      <c r="I739" s="7">
        <v>0</v>
      </c>
      <c r="J739" s="8" t="e">
        <f t="shared" si="11"/>
        <v>#DIV/0!</v>
      </c>
      <c r="T739" s="15" t="s">
        <v>372</v>
      </c>
    </row>
    <row r="740" spans="1:20" x14ac:dyDescent="0.25">
      <c r="A740" s="15" t="s">
        <v>407</v>
      </c>
      <c r="B740" s="15" t="s">
        <v>359</v>
      </c>
      <c r="C740" s="15" t="s">
        <v>418</v>
      </c>
      <c r="D740" s="15" t="s">
        <v>376</v>
      </c>
      <c r="F740" s="7" t="s">
        <v>30</v>
      </c>
      <c r="G740" s="7" t="s">
        <v>30</v>
      </c>
      <c r="H740" s="7">
        <v>0</v>
      </c>
      <c r="I740" s="7">
        <v>0</v>
      </c>
      <c r="J740" s="8" t="e">
        <f t="shared" si="11"/>
        <v>#DIV/0!</v>
      </c>
      <c r="T740" s="15" t="s">
        <v>418</v>
      </c>
    </row>
    <row r="741" spans="1:20" x14ac:dyDescent="0.25">
      <c r="A741" s="15" t="s">
        <v>407</v>
      </c>
      <c r="B741" s="15" t="s">
        <v>359</v>
      </c>
      <c r="C741" s="15" t="s">
        <v>419</v>
      </c>
      <c r="D741" s="15" t="s">
        <v>378</v>
      </c>
      <c r="F741" s="7" t="s">
        <v>30</v>
      </c>
      <c r="H741" s="7">
        <v>0</v>
      </c>
      <c r="I741" s="7">
        <v>0</v>
      </c>
      <c r="J741" s="8" t="e">
        <f t="shared" si="11"/>
        <v>#DIV/0!</v>
      </c>
      <c r="T741" s="15" t="s">
        <v>419</v>
      </c>
    </row>
    <row r="742" spans="1:20" x14ac:dyDescent="0.25">
      <c r="A742" s="15" t="s">
        <v>407</v>
      </c>
      <c r="B742" s="15" t="s">
        <v>359</v>
      </c>
      <c r="C742" s="15" t="s">
        <v>420</v>
      </c>
      <c r="D742" s="15" t="s">
        <v>380</v>
      </c>
      <c r="F742" s="7" t="s">
        <v>30</v>
      </c>
      <c r="H742" s="7">
        <v>0</v>
      </c>
      <c r="I742" s="7">
        <v>0</v>
      </c>
      <c r="J742" s="8" t="e">
        <f t="shared" si="11"/>
        <v>#DIV/0!</v>
      </c>
      <c r="T742" s="15" t="s">
        <v>420</v>
      </c>
    </row>
    <row r="743" spans="1:20" x14ac:dyDescent="0.25">
      <c r="A743" s="15" t="s">
        <v>407</v>
      </c>
      <c r="B743" s="15" t="s">
        <v>359</v>
      </c>
      <c r="C743" s="15" t="s">
        <v>403</v>
      </c>
      <c r="D743" s="15" t="s">
        <v>164</v>
      </c>
      <c r="G743" s="7" t="s">
        <v>30</v>
      </c>
      <c r="H743" s="7">
        <v>0</v>
      </c>
      <c r="I743" s="7">
        <v>0</v>
      </c>
      <c r="J743" s="8" t="e">
        <f t="shared" si="11"/>
        <v>#DIV/0!</v>
      </c>
      <c r="T743" s="15" t="s">
        <v>403</v>
      </c>
    </row>
    <row r="744" spans="1:20" x14ac:dyDescent="0.25">
      <c r="A744" s="15" t="s">
        <v>407</v>
      </c>
      <c r="B744" s="15" t="s">
        <v>359</v>
      </c>
      <c r="C744" s="15" t="s">
        <v>421</v>
      </c>
      <c r="D744" s="15" t="s">
        <v>382</v>
      </c>
      <c r="F744" s="7" t="s">
        <v>30</v>
      </c>
      <c r="H744" s="7">
        <v>0</v>
      </c>
      <c r="I744" s="7">
        <v>0</v>
      </c>
      <c r="J744" s="8" t="e">
        <f t="shared" si="11"/>
        <v>#DIV/0!</v>
      </c>
      <c r="T744" s="15" t="s">
        <v>421</v>
      </c>
    </row>
    <row r="745" spans="1:20" x14ac:dyDescent="0.25">
      <c r="A745" s="15" t="s">
        <v>407</v>
      </c>
      <c r="B745" s="15" t="s">
        <v>359</v>
      </c>
      <c r="C745" s="15" t="s">
        <v>422</v>
      </c>
      <c r="D745" s="15" t="s">
        <v>385</v>
      </c>
      <c r="F745" s="7" t="s">
        <v>30</v>
      </c>
      <c r="G745" s="7" t="s">
        <v>30</v>
      </c>
      <c r="H745" s="7">
        <v>0</v>
      </c>
      <c r="I745" s="7">
        <v>0</v>
      </c>
      <c r="J745" s="8" t="e">
        <f t="shared" si="11"/>
        <v>#DIV/0!</v>
      </c>
      <c r="T745" s="15" t="s">
        <v>383</v>
      </c>
    </row>
    <row r="746" spans="1:20" x14ac:dyDescent="0.25">
      <c r="A746" s="15" t="s">
        <v>407</v>
      </c>
      <c r="B746" s="15" t="s">
        <v>359</v>
      </c>
      <c r="C746" s="15" t="s">
        <v>160</v>
      </c>
      <c r="D746" s="15" t="s">
        <v>161</v>
      </c>
      <c r="F746" s="7" t="s">
        <v>30</v>
      </c>
      <c r="G746" s="7" t="s">
        <v>30</v>
      </c>
      <c r="H746" s="7">
        <v>0</v>
      </c>
      <c r="I746" s="7">
        <v>0</v>
      </c>
      <c r="J746" s="8" t="e">
        <f t="shared" si="11"/>
        <v>#DIV/0!</v>
      </c>
      <c r="T746" s="15" t="s">
        <v>160</v>
      </c>
    </row>
    <row r="747" spans="1:20" x14ac:dyDescent="0.25">
      <c r="A747" s="15" t="s">
        <v>407</v>
      </c>
      <c r="B747" s="15" t="s">
        <v>359</v>
      </c>
      <c r="C747" s="15" t="s">
        <v>423</v>
      </c>
      <c r="D747" s="15" t="s">
        <v>424</v>
      </c>
      <c r="F747" s="7" t="s">
        <v>30</v>
      </c>
      <c r="G747" s="7" t="s">
        <v>30</v>
      </c>
      <c r="H747" s="7">
        <v>0</v>
      </c>
      <c r="I747" s="7">
        <v>0</v>
      </c>
      <c r="J747" s="8" t="e">
        <f t="shared" si="11"/>
        <v>#DIV/0!</v>
      </c>
      <c r="T747" s="15" t="s">
        <v>423</v>
      </c>
    </row>
    <row r="748" spans="1:20" x14ac:dyDescent="0.25">
      <c r="A748" s="15" t="s">
        <v>407</v>
      </c>
      <c r="B748" s="15" t="s">
        <v>359</v>
      </c>
      <c r="C748" s="14" t="s">
        <v>158</v>
      </c>
      <c r="D748" s="15" t="s">
        <v>159</v>
      </c>
      <c r="G748" s="7" t="s">
        <v>30</v>
      </c>
      <c r="H748" s="7">
        <v>0</v>
      </c>
      <c r="I748" s="7">
        <v>0</v>
      </c>
      <c r="J748" s="8" t="e">
        <f t="shared" si="11"/>
        <v>#DIV/0!</v>
      </c>
      <c r="T748" s="14" t="s">
        <v>158</v>
      </c>
    </row>
    <row r="749" spans="1:20" x14ac:dyDescent="0.25">
      <c r="A749" s="15" t="s">
        <v>407</v>
      </c>
      <c r="B749" s="15" t="s">
        <v>359</v>
      </c>
      <c r="C749" s="15" t="s">
        <v>387</v>
      </c>
      <c r="D749" s="15" t="s">
        <v>388</v>
      </c>
      <c r="F749" s="7" t="s">
        <v>30</v>
      </c>
      <c r="H749" s="7">
        <v>0</v>
      </c>
      <c r="I749" s="7">
        <v>0</v>
      </c>
      <c r="J749" s="8" t="e">
        <f t="shared" si="11"/>
        <v>#DIV/0!</v>
      </c>
      <c r="T749" s="15" t="s">
        <v>387</v>
      </c>
    </row>
    <row r="750" spans="1:20" x14ac:dyDescent="0.25">
      <c r="A750" s="15" t="s">
        <v>407</v>
      </c>
      <c r="B750" s="15" t="s">
        <v>359</v>
      </c>
      <c r="C750" s="15" t="s">
        <v>389</v>
      </c>
      <c r="D750" s="15" t="s">
        <v>390</v>
      </c>
      <c r="F750" s="7" t="s">
        <v>30</v>
      </c>
      <c r="H750" s="7">
        <v>0</v>
      </c>
      <c r="I750" s="7">
        <v>0</v>
      </c>
      <c r="J750" s="8" t="e">
        <f t="shared" si="11"/>
        <v>#DIV/0!</v>
      </c>
      <c r="T750" s="15" t="s">
        <v>389</v>
      </c>
    </row>
    <row r="751" spans="1:20" x14ac:dyDescent="0.25">
      <c r="A751" s="15" t="s">
        <v>407</v>
      </c>
      <c r="B751" s="15" t="s">
        <v>359</v>
      </c>
      <c r="C751" s="15" t="s">
        <v>426</v>
      </c>
      <c r="D751" s="15" t="s">
        <v>393</v>
      </c>
      <c r="F751" s="7" t="s">
        <v>30</v>
      </c>
      <c r="H751" s="7">
        <v>0</v>
      </c>
      <c r="I751" s="7">
        <v>0</v>
      </c>
      <c r="J751" s="8" t="e">
        <f t="shared" si="11"/>
        <v>#DIV/0!</v>
      </c>
      <c r="T751" s="15" t="s">
        <v>425</v>
      </c>
    </row>
    <row r="752" spans="1:20" x14ac:dyDescent="0.25">
      <c r="A752" s="15" t="s">
        <v>407</v>
      </c>
      <c r="B752" s="15" t="s">
        <v>359</v>
      </c>
      <c r="C752" s="14" t="s">
        <v>296</v>
      </c>
      <c r="D752" s="15" t="s">
        <v>220</v>
      </c>
      <c r="F752" s="7" t="s">
        <v>30</v>
      </c>
      <c r="H752" s="7">
        <v>0</v>
      </c>
      <c r="I752" s="7">
        <v>0</v>
      </c>
      <c r="J752" s="8" t="e">
        <f t="shared" si="11"/>
        <v>#DIV/0!</v>
      </c>
      <c r="T752" s="14" t="s">
        <v>296</v>
      </c>
    </row>
    <row r="753" spans="1:20" x14ac:dyDescent="0.25">
      <c r="A753" s="15" t="s">
        <v>407</v>
      </c>
      <c r="B753" s="15" t="s">
        <v>359</v>
      </c>
      <c r="C753" s="15" t="s">
        <v>427</v>
      </c>
      <c r="D753" s="15" t="s">
        <v>397</v>
      </c>
      <c r="F753" s="7" t="s">
        <v>30</v>
      </c>
      <c r="H753" s="7">
        <v>0</v>
      </c>
      <c r="I753" s="7">
        <v>0</v>
      </c>
      <c r="J753" s="8" t="e">
        <f t="shared" si="11"/>
        <v>#DIV/0!</v>
      </c>
      <c r="T753" s="15" t="s">
        <v>427</v>
      </c>
    </row>
    <row r="754" spans="1:20" x14ac:dyDescent="0.25">
      <c r="A754" s="15" t="s">
        <v>407</v>
      </c>
      <c r="B754" s="15" t="s">
        <v>359</v>
      </c>
      <c r="C754" s="15" t="s">
        <v>399</v>
      </c>
      <c r="D754" s="15" t="s">
        <v>400</v>
      </c>
      <c r="F754" s="7" t="s">
        <v>30</v>
      </c>
      <c r="G754" s="7" t="s">
        <v>30</v>
      </c>
      <c r="H754" s="7">
        <v>0</v>
      </c>
      <c r="I754" s="7">
        <v>0</v>
      </c>
      <c r="J754" s="8" t="e">
        <f t="shared" si="11"/>
        <v>#DIV/0!</v>
      </c>
      <c r="T754" s="15" t="s">
        <v>398</v>
      </c>
    </row>
    <row r="755" spans="1:20" x14ac:dyDescent="0.25">
      <c r="A755" s="15" t="s">
        <v>407</v>
      </c>
      <c r="B755" s="15" t="s">
        <v>359</v>
      </c>
      <c r="C755" s="15" t="s">
        <v>429</v>
      </c>
      <c r="D755" s="15" t="s">
        <v>324</v>
      </c>
      <c r="F755" s="7" t="s">
        <v>30</v>
      </c>
      <c r="G755" s="7" t="s">
        <v>30</v>
      </c>
      <c r="H755" s="7">
        <v>0</v>
      </c>
      <c r="I755" s="7">
        <v>0</v>
      </c>
      <c r="J755" s="8" t="e">
        <f t="shared" si="11"/>
        <v>#DIV/0!</v>
      </c>
      <c r="T755" s="15" t="s">
        <v>428</v>
      </c>
    </row>
    <row r="756" spans="1:20" x14ac:dyDescent="0.25">
      <c r="A756" s="15" t="s">
        <v>407</v>
      </c>
      <c r="B756" s="15" t="s">
        <v>359</v>
      </c>
      <c r="C756" s="15" t="s">
        <v>402</v>
      </c>
      <c r="D756" s="15" t="s">
        <v>319</v>
      </c>
      <c r="F756" s="7" t="s">
        <v>30</v>
      </c>
      <c r="G756" s="7" t="s">
        <v>30</v>
      </c>
      <c r="H756" s="7">
        <v>0</v>
      </c>
      <c r="I756" s="7">
        <v>0</v>
      </c>
      <c r="J756" s="8" t="e">
        <f t="shared" si="11"/>
        <v>#DIV/0!</v>
      </c>
      <c r="T756" s="15" t="s">
        <v>402</v>
      </c>
    </row>
    <row r="757" spans="1:20" x14ac:dyDescent="0.25">
      <c r="A757" s="15" t="s">
        <v>407</v>
      </c>
      <c r="B757" s="15" t="s">
        <v>359</v>
      </c>
      <c r="C757" s="15" t="s">
        <v>430</v>
      </c>
      <c r="D757" s="15" t="s">
        <v>233</v>
      </c>
      <c r="F757" s="7" t="s">
        <v>30</v>
      </c>
      <c r="G757" s="7" t="s">
        <v>30</v>
      </c>
      <c r="H757" s="7">
        <v>0</v>
      </c>
      <c r="I757" s="7">
        <v>0</v>
      </c>
      <c r="J757" s="8" t="e">
        <f t="shared" si="11"/>
        <v>#DIV/0!</v>
      </c>
      <c r="T757" s="15" t="s">
        <v>430</v>
      </c>
    </row>
    <row r="758" spans="1:20" x14ac:dyDescent="0.25">
      <c r="A758" s="15" t="s">
        <v>407</v>
      </c>
      <c r="B758" s="15" t="s">
        <v>359</v>
      </c>
      <c r="C758" s="15" t="s">
        <v>315</v>
      </c>
      <c r="D758" s="15" t="s">
        <v>171</v>
      </c>
      <c r="G758" s="7" t="s">
        <v>30</v>
      </c>
      <c r="H758" s="7">
        <v>9</v>
      </c>
      <c r="I758" s="7">
        <v>5</v>
      </c>
      <c r="J758" s="8">
        <f t="shared" si="11"/>
        <v>0.6428571428571429</v>
      </c>
      <c r="L758" s="7" t="s">
        <v>30</v>
      </c>
      <c r="T758" s="15" t="s">
        <v>288</v>
      </c>
    </row>
    <row r="759" spans="1:20" x14ac:dyDescent="0.25">
      <c r="A759" s="15" t="s">
        <v>407</v>
      </c>
      <c r="B759" s="15" t="s">
        <v>359</v>
      </c>
      <c r="C759" s="15" t="s">
        <v>188</v>
      </c>
      <c r="D759" s="15" t="s">
        <v>187</v>
      </c>
      <c r="F759" s="7" t="s">
        <v>30</v>
      </c>
      <c r="G759" s="7" t="s">
        <v>30</v>
      </c>
      <c r="H759" s="7">
        <v>9</v>
      </c>
      <c r="I759" s="7">
        <v>5</v>
      </c>
      <c r="J759" s="8">
        <f t="shared" si="11"/>
        <v>0.6428571428571429</v>
      </c>
      <c r="L759" s="7" t="s">
        <v>30</v>
      </c>
      <c r="T759" s="15" t="s">
        <v>188</v>
      </c>
    </row>
    <row r="760" spans="1:20" x14ac:dyDescent="0.25">
      <c r="A760" s="15" t="s">
        <v>407</v>
      </c>
      <c r="B760" s="15" t="s">
        <v>359</v>
      </c>
      <c r="C760" s="14" t="s">
        <v>257</v>
      </c>
      <c r="D760" s="15" t="s">
        <v>215</v>
      </c>
      <c r="G760" s="7" t="s">
        <v>30</v>
      </c>
      <c r="H760" s="7">
        <v>8</v>
      </c>
      <c r="I760" s="7">
        <v>6</v>
      </c>
      <c r="J760" s="8">
        <f t="shared" si="11"/>
        <v>0.5714285714285714</v>
      </c>
      <c r="L760" s="7" t="s">
        <v>30</v>
      </c>
      <c r="T760" s="14" t="s">
        <v>257</v>
      </c>
    </row>
    <row r="761" spans="1:20" x14ac:dyDescent="0.25">
      <c r="A761" s="15" t="s">
        <v>407</v>
      </c>
      <c r="B761" s="15" t="s">
        <v>359</v>
      </c>
      <c r="C761" s="14" t="s">
        <v>169</v>
      </c>
      <c r="D761" s="15" t="s">
        <v>161</v>
      </c>
      <c r="G761" s="7" t="s">
        <v>30</v>
      </c>
      <c r="H761" s="7">
        <v>8</v>
      </c>
      <c r="I761" s="7">
        <v>6</v>
      </c>
      <c r="J761" s="8">
        <f t="shared" si="11"/>
        <v>0.5714285714285714</v>
      </c>
      <c r="T761" s="14" t="s">
        <v>169</v>
      </c>
    </row>
    <row r="762" spans="1:20" x14ac:dyDescent="0.25">
      <c r="A762" s="15" t="s">
        <v>407</v>
      </c>
      <c r="B762" s="15" t="s">
        <v>359</v>
      </c>
      <c r="C762" s="15" t="s">
        <v>404</v>
      </c>
      <c r="D762" s="15" t="s">
        <v>171</v>
      </c>
      <c r="G762" s="7" t="s">
        <v>30</v>
      </c>
      <c r="H762" s="7">
        <v>8</v>
      </c>
      <c r="I762" s="7">
        <v>6</v>
      </c>
      <c r="J762" s="8">
        <f t="shared" si="11"/>
        <v>0.5714285714285714</v>
      </c>
      <c r="L762" s="7" t="s">
        <v>30</v>
      </c>
      <c r="T762" s="15" t="s">
        <v>176</v>
      </c>
    </row>
    <row r="763" spans="1:20" x14ac:dyDescent="0.25">
      <c r="A763" s="15" t="s">
        <v>407</v>
      </c>
      <c r="B763" s="15" t="s">
        <v>359</v>
      </c>
      <c r="C763" s="15" t="s">
        <v>347</v>
      </c>
      <c r="D763" s="15" t="s">
        <v>154</v>
      </c>
      <c r="G763" s="7" t="s">
        <v>30</v>
      </c>
      <c r="H763" s="7">
        <v>8</v>
      </c>
      <c r="I763" s="7">
        <v>6</v>
      </c>
      <c r="J763" s="8">
        <f t="shared" si="11"/>
        <v>0.5714285714285714</v>
      </c>
      <c r="T763" s="14" t="s">
        <v>581</v>
      </c>
    </row>
    <row r="764" spans="1:20" x14ac:dyDescent="0.25">
      <c r="A764" s="15" t="s">
        <v>407</v>
      </c>
      <c r="B764" s="15" t="s">
        <v>359</v>
      </c>
      <c r="C764" s="15" t="s">
        <v>308</v>
      </c>
      <c r="D764" s="15" t="s">
        <v>157</v>
      </c>
      <c r="G764" s="7" t="s">
        <v>30</v>
      </c>
      <c r="H764" s="7">
        <v>8</v>
      </c>
      <c r="I764" s="7">
        <v>6</v>
      </c>
      <c r="J764" s="8">
        <f t="shared" si="11"/>
        <v>0.5714285714285714</v>
      </c>
      <c r="T764" s="14" t="s">
        <v>178</v>
      </c>
    </row>
    <row r="765" spans="1:20" x14ac:dyDescent="0.25">
      <c r="A765" s="15" t="s">
        <v>407</v>
      </c>
      <c r="B765" s="15" t="s">
        <v>359</v>
      </c>
      <c r="C765" s="15" t="s">
        <v>309</v>
      </c>
      <c r="D765" s="15" t="s">
        <v>152</v>
      </c>
      <c r="G765" s="7" t="s">
        <v>30</v>
      </c>
      <c r="H765" s="7">
        <v>6</v>
      </c>
      <c r="I765" s="7">
        <v>8</v>
      </c>
      <c r="J765" s="8">
        <f t="shared" si="11"/>
        <v>0.42857142857142855</v>
      </c>
      <c r="T765" s="15" t="s">
        <v>309</v>
      </c>
    </row>
    <row r="766" spans="1:20" x14ac:dyDescent="0.25">
      <c r="A766" s="15" t="s">
        <v>407</v>
      </c>
      <c r="B766" s="15" t="s">
        <v>359</v>
      </c>
      <c r="C766" s="15" t="s">
        <v>316</v>
      </c>
      <c r="D766" s="15" t="s">
        <v>173</v>
      </c>
      <c r="G766" s="7" t="s">
        <v>30</v>
      </c>
      <c r="H766" s="7">
        <v>4</v>
      </c>
      <c r="I766" s="7">
        <v>10</v>
      </c>
      <c r="J766" s="8">
        <f t="shared" si="11"/>
        <v>0.2857142857142857</v>
      </c>
      <c r="T766" s="15" t="s">
        <v>316</v>
      </c>
    </row>
    <row r="767" spans="1:20" x14ac:dyDescent="0.25">
      <c r="A767" s="15" t="s">
        <v>407</v>
      </c>
      <c r="B767" s="15" t="s">
        <v>359</v>
      </c>
      <c r="C767" s="15" t="s">
        <v>353</v>
      </c>
      <c r="D767" s="15" t="s">
        <v>243</v>
      </c>
      <c r="G767" s="7" t="s">
        <v>30</v>
      </c>
      <c r="H767" s="7">
        <v>3</v>
      </c>
      <c r="I767" s="7">
        <v>11</v>
      </c>
      <c r="J767" s="8">
        <f t="shared" si="11"/>
        <v>0.21428571428571427</v>
      </c>
      <c r="T767" s="15" t="s">
        <v>241</v>
      </c>
    </row>
    <row r="768" spans="1:20" x14ac:dyDescent="0.25">
      <c r="A768" s="15" t="s">
        <v>407</v>
      </c>
      <c r="B768" s="15" t="s">
        <v>359</v>
      </c>
      <c r="C768" s="15" t="s">
        <v>406</v>
      </c>
      <c r="D768" s="15" t="s">
        <v>326</v>
      </c>
      <c r="G768" s="7" t="s">
        <v>30</v>
      </c>
      <c r="H768" s="7">
        <v>2</v>
      </c>
      <c r="I768" s="7">
        <v>12</v>
      </c>
      <c r="J768" s="8">
        <f t="shared" si="11"/>
        <v>0.14285714285714285</v>
      </c>
      <c r="T768" s="15" t="s">
        <v>406</v>
      </c>
    </row>
    <row r="769" spans="1:20" x14ac:dyDescent="0.25">
      <c r="A769" s="15" t="s">
        <v>407</v>
      </c>
      <c r="B769" s="15" t="s">
        <v>359</v>
      </c>
      <c r="C769" s="15" t="s">
        <v>431</v>
      </c>
      <c r="D769" s="15" t="s">
        <v>154</v>
      </c>
      <c r="G769" s="7" t="s">
        <v>30</v>
      </c>
      <c r="H769" s="7">
        <v>1</v>
      </c>
      <c r="I769" s="7">
        <v>13</v>
      </c>
      <c r="J769" s="8">
        <f t="shared" si="11"/>
        <v>7.1428571428571425E-2</v>
      </c>
      <c r="T769" s="14" t="s">
        <v>267</v>
      </c>
    </row>
    <row r="770" spans="1:20" x14ac:dyDescent="0.25">
      <c r="A770" s="15" t="s">
        <v>432</v>
      </c>
      <c r="B770" s="15" t="s">
        <v>359</v>
      </c>
      <c r="C770" s="14" t="s">
        <v>149</v>
      </c>
      <c r="D770" s="15" t="s">
        <v>152</v>
      </c>
      <c r="H770" s="7">
        <v>11</v>
      </c>
      <c r="I770" s="7">
        <v>3</v>
      </c>
      <c r="J770" s="8">
        <f t="shared" ref="J770:J833" si="12">H770/SUM(H770:I770)</f>
        <v>0.7857142857142857</v>
      </c>
      <c r="L770" s="7" t="s">
        <v>30</v>
      </c>
      <c r="M770" s="7" t="s">
        <v>30</v>
      </c>
      <c r="N770" s="7" t="s">
        <v>30</v>
      </c>
      <c r="T770" s="14" t="s">
        <v>149</v>
      </c>
    </row>
    <row r="771" spans="1:20" x14ac:dyDescent="0.25">
      <c r="A771" s="15" t="s">
        <v>432</v>
      </c>
      <c r="B771" s="15" t="s">
        <v>359</v>
      </c>
      <c r="C771" s="14" t="s">
        <v>162</v>
      </c>
      <c r="D771" s="15" t="s">
        <v>152</v>
      </c>
      <c r="G771" s="7" t="s">
        <v>30</v>
      </c>
      <c r="H771" s="7">
        <v>9</v>
      </c>
      <c r="I771" s="7">
        <v>5</v>
      </c>
      <c r="J771" s="8">
        <f t="shared" si="12"/>
        <v>0.6428571428571429</v>
      </c>
      <c r="L771" s="7" t="s">
        <v>30</v>
      </c>
      <c r="M771" s="7" t="s">
        <v>30</v>
      </c>
      <c r="T771" s="15" t="s">
        <v>162</v>
      </c>
    </row>
    <row r="772" spans="1:20" x14ac:dyDescent="0.25">
      <c r="A772" s="15" t="s">
        <v>432</v>
      </c>
      <c r="B772" s="15" t="s">
        <v>359</v>
      </c>
      <c r="C772" s="15" t="s">
        <v>431</v>
      </c>
      <c r="D772" s="15" t="s">
        <v>154</v>
      </c>
      <c r="G772" s="7" t="s">
        <v>30</v>
      </c>
      <c r="H772" s="7">
        <v>9</v>
      </c>
      <c r="I772" s="7">
        <v>5</v>
      </c>
      <c r="J772" s="8">
        <f t="shared" si="12"/>
        <v>0.6428571428571429</v>
      </c>
      <c r="L772" s="7" t="s">
        <v>30</v>
      </c>
      <c r="M772" s="7" t="s">
        <v>30</v>
      </c>
      <c r="N772" s="7" t="s">
        <v>30</v>
      </c>
      <c r="O772" s="16" t="s">
        <v>30</v>
      </c>
      <c r="T772" s="14" t="s">
        <v>267</v>
      </c>
    </row>
    <row r="773" spans="1:20" x14ac:dyDescent="0.25">
      <c r="A773" s="15" t="s">
        <v>432</v>
      </c>
      <c r="B773" s="15" t="s">
        <v>359</v>
      </c>
      <c r="C773" s="15" t="s">
        <v>347</v>
      </c>
      <c r="D773" s="15" t="s">
        <v>154</v>
      </c>
      <c r="G773" s="7" t="s">
        <v>30</v>
      </c>
      <c r="H773" s="7">
        <v>8</v>
      </c>
      <c r="I773" s="7">
        <v>6</v>
      </c>
      <c r="J773" s="8">
        <f t="shared" si="12"/>
        <v>0.5714285714285714</v>
      </c>
      <c r="L773" s="7" t="s">
        <v>30</v>
      </c>
      <c r="M773" s="7" t="s">
        <v>30</v>
      </c>
      <c r="T773" s="14" t="s">
        <v>581</v>
      </c>
    </row>
    <row r="774" spans="1:20" x14ac:dyDescent="0.25">
      <c r="A774" s="15" t="s">
        <v>432</v>
      </c>
      <c r="B774" s="15" t="s">
        <v>359</v>
      </c>
      <c r="C774" s="15" t="s">
        <v>433</v>
      </c>
      <c r="D774" s="15" t="s">
        <v>361</v>
      </c>
      <c r="F774" s="7" t="s">
        <v>30</v>
      </c>
      <c r="H774" s="7">
        <v>0</v>
      </c>
      <c r="I774" s="7">
        <v>0</v>
      </c>
      <c r="J774" s="8" t="e">
        <f t="shared" si="12"/>
        <v>#DIV/0!</v>
      </c>
      <c r="T774" s="15" t="s">
        <v>433</v>
      </c>
    </row>
    <row r="775" spans="1:20" x14ac:dyDescent="0.25">
      <c r="A775" s="15" t="s">
        <v>432</v>
      </c>
      <c r="B775" s="15" t="s">
        <v>359</v>
      </c>
      <c r="C775" s="15" t="s">
        <v>434</v>
      </c>
      <c r="D775" s="15" t="s">
        <v>364</v>
      </c>
      <c r="F775" s="7" t="s">
        <v>30</v>
      </c>
      <c r="G775" s="7" t="s">
        <v>30</v>
      </c>
      <c r="H775" s="7">
        <v>0</v>
      </c>
      <c r="I775" s="7">
        <v>0</v>
      </c>
      <c r="J775" s="8" t="e">
        <f t="shared" si="12"/>
        <v>#DIV/0!</v>
      </c>
      <c r="T775" s="15" t="s">
        <v>362</v>
      </c>
    </row>
    <row r="776" spans="1:20" x14ac:dyDescent="0.25">
      <c r="A776" s="15" t="s">
        <v>432</v>
      </c>
      <c r="B776" s="15" t="s">
        <v>359</v>
      </c>
      <c r="C776" s="15" t="s">
        <v>435</v>
      </c>
      <c r="D776" s="15" t="s">
        <v>436</v>
      </c>
      <c r="F776" s="7" t="s">
        <v>30</v>
      </c>
      <c r="G776" s="7" t="s">
        <v>30</v>
      </c>
      <c r="H776" s="7">
        <v>0</v>
      </c>
      <c r="I776" s="7">
        <v>0</v>
      </c>
      <c r="J776" s="8" t="e">
        <f t="shared" si="12"/>
        <v>#DIV/0!</v>
      </c>
      <c r="T776" s="15" t="s">
        <v>435</v>
      </c>
    </row>
    <row r="777" spans="1:20" x14ac:dyDescent="0.25">
      <c r="A777" s="15" t="s">
        <v>432</v>
      </c>
      <c r="B777" s="15" t="s">
        <v>359</v>
      </c>
      <c r="C777" s="15" t="s">
        <v>415</v>
      </c>
      <c r="D777" s="15" t="s">
        <v>368</v>
      </c>
      <c r="F777" s="7" t="s">
        <v>30</v>
      </c>
      <c r="G777" s="7" t="s">
        <v>30</v>
      </c>
      <c r="H777" s="7">
        <v>0</v>
      </c>
      <c r="I777" s="7">
        <v>0</v>
      </c>
      <c r="J777" s="8" t="e">
        <f t="shared" si="12"/>
        <v>#DIV/0!</v>
      </c>
      <c r="T777" s="15" t="s">
        <v>415</v>
      </c>
    </row>
    <row r="778" spans="1:20" x14ac:dyDescent="0.25">
      <c r="A778" s="15" t="s">
        <v>432</v>
      </c>
      <c r="B778" s="15" t="s">
        <v>359</v>
      </c>
      <c r="C778" s="15" t="s">
        <v>356</v>
      </c>
      <c r="D778" s="15" t="s">
        <v>215</v>
      </c>
      <c r="F778" s="7" t="s">
        <v>30</v>
      </c>
      <c r="G778" s="7" t="s">
        <v>30</v>
      </c>
      <c r="H778" s="7">
        <v>0</v>
      </c>
      <c r="I778" s="7">
        <v>0</v>
      </c>
      <c r="J778" s="8" t="e">
        <f t="shared" si="12"/>
        <v>#DIV/0!</v>
      </c>
      <c r="T778" s="15" t="s">
        <v>310</v>
      </c>
    </row>
    <row r="779" spans="1:20" x14ac:dyDescent="0.25">
      <c r="A779" s="15" t="s">
        <v>432</v>
      </c>
      <c r="B779" s="15" t="s">
        <v>359</v>
      </c>
      <c r="C779" s="15" t="s">
        <v>437</v>
      </c>
      <c r="D779" s="15" t="s">
        <v>371</v>
      </c>
      <c r="F779" s="7" t="s">
        <v>30</v>
      </c>
      <c r="H779" s="7">
        <v>0</v>
      </c>
      <c r="I779" s="7">
        <v>0</v>
      </c>
      <c r="J779" s="8" t="e">
        <f t="shared" si="12"/>
        <v>#DIV/0!</v>
      </c>
      <c r="T779" s="15" t="s">
        <v>437</v>
      </c>
    </row>
    <row r="780" spans="1:20" x14ac:dyDescent="0.25">
      <c r="A780" s="15" t="s">
        <v>432</v>
      </c>
      <c r="B780" s="15" t="s">
        <v>359</v>
      </c>
      <c r="C780" s="15" t="s">
        <v>438</v>
      </c>
      <c r="D780" s="15" t="s">
        <v>374</v>
      </c>
      <c r="F780" s="7" t="s">
        <v>30</v>
      </c>
      <c r="G780" s="7" t="s">
        <v>30</v>
      </c>
      <c r="H780" s="7">
        <v>0</v>
      </c>
      <c r="I780" s="7">
        <v>0</v>
      </c>
      <c r="J780" s="8" t="e">
        <f t="shared" si="12"/>
        <v>#DIV/0!</v>
      </c>
      <c r="T780" s="15" t="s">
        <v>438</v>
      </c>
    </row>
    <row r="781" spans="1:20" x14ac:dyDescent="0.25">
      <c r="A781" s="15" t="s">
        <v>432</v>
      </c>
      <c r="B781" s="15" t="s">
        <v>359</v>
      </c>
      <c r="C781" s="15" t="s">
        <v>377</v>
      </c>
      <c r="D781" s="15" t="s">
        <v>378</v>
      </c>
      <c r="F781" s="7" t="s">
        <v>30</v>
      </c>
      <c r="H781" s="7">
        <v>0</v>
      </c>
      <c r="I781" s="7">
        <v>0</v>
      </c>
      <c r="J781" s="8" t="e">
        <f t="shared" si="12"/>
        <v>#DIV/0!</v>
      </c>
      <c r="T781" s="15" t="s">
        <v>377</v>
      </c>
    </row>
    <row r="782" spans="1:20" x14ac:dyDescent="0.25">
      <c r="A782" s="15" t="s">
        <v>432</v>
      </c>
      <c r="B782" s="15" t="s">
        <v>359</v>
      </c>
      <c r="C782" s="15" t="s">
        <v>420</v>
      </c>
      <c r="D782" s="15" t="s">
        <v>380</v>
      </c>
      <c r="F782" s="7" t="s">
        <v>30</v>
      </c>
      <c r="H782" s="7">
        <v>0</v>
      </c>
      <c r="I782" s="7">
        <v>0</v>
      </c>
      <c r="J782" s="8" t="e">
        <f t="shared" si="12"/>
        <v>#DIV/0!</v>
      </c>
      <c r="T782" s="15" t="s">
        <v>420</v>
      </c>
    </row>
    <row r="783" spans="1:20" x14ac:dyDescent="0.25">
      <c r="A783" s="15" t="s">
        <v>432</v>
      </c>
      <c r="B783" s="15" t="s">
        <v>359</v>
      </c>
      <c r="C783" s="15" t="s">
        <v>439</v>
      </c>
      <c r="D783" s="15" t="s">
        <v>385</v>
      </c>
      <c r="F783" s="7" t="s">
        <v>30</v>
      </c>
      <c r="H783" s="7">
        <v>0</v>
      </c>
      <c r="I783" s="7">
        <v>0</v>
      </c>
      <c r="J783" s="8" t="e">
        <f t="shared" si="12"/>
        <v>#DIV/0!</v>
      </c>
      <c r="T783" s="15" t="s">
        <v>383</v>
      </c>
    </row>
    <row r="784" spans="1:20" x14ac:dyDescent="0.25">
      <c r="A784" s="15" t="s">
        <v>432</v>
      </c>
      <c r="B784" s="15" t="s">
        <v>359</v>
      </c>
      <c r="C784" s="15" t="s">
        <v>440</v>
      </c>
      <c r="D784" s="15" t="s">
        <v>441</v>
      </c>
      <c r="F784" s="7" t="s">
        <v>30</v>
      </c>
      <c r="H784" s="7">
        <v>0</v>
      </c>
      <c r="I784" s="7">
        <v>0</v>
      </c>
      <c r="J784" s="8" t="e">
        <f t="shared" si="12"/>
        <v>#DIV/0!</v>
      </c>
      <c r="T784" s="15" t="s">
        <v>440</v>
      </c>
    </row>
    <row r="785" spans="1:20" x14ac:dyDescent="0.25">
      <c r="A785" s="15" t="s">
        <v>432</v>
      </c>
      <c r="B785" s="15" t="s">
        <v>359</v>
      </c>
      <c r="C785" s="15" t="s">
        <v>386</v>
      </c>
      <c r="D785" s="15" t="s">
        <v>161</v>
      </c>
      <c r="G785" s="7" t="s">
        <v>30</v>
      </c>
      <c r="H785" s="7">
        <v>0</v>
      </c>
      <c r="I785" s="7">
        <v>0</v>
      </c>
      <c r="J785" s="8" t="e">
        <f t="shared" si="12"/>
        <v>#DIV/0!</v>
      </c>
      <c r="T785" s="15" t="s">
        <v>386</v>
      </c>
    </row>
    <row r="786" spans="1:20" x14ac:dyDescent="0.25">
      <c r="A786" s="15" t="s">
        <v>432</v>
      </c>
      <c r="B786" s="15" t="s">
        <v>359</v>
      </c>
      <c r="C786" s="15" t="s">
        <v>160</v>
      </c>
      <c r="D786" s="15" t="s">
        <v>161</v>
      </c>
      <c r="F786" s="7" t="s">
        <v>30</v>
      </c>
      <c r="H786" s="7">
        <v>0</v>
      </c>
      <c r="I786" s="7">
        <v>0</v>
      </c>
      <c r="J786" s="8" t="e">
        <f t="shared" si="12"/>
        <v>#DIV/0!</v>
      </c>
      <c r="T786" s="15" t="s">
        <v>160</v>
      </c>
    </row>
    <row r="787" spans="1:20" x14ac:dyDescent="0.25">
      <c r="A787" s="15" t="s">
        <v>432</v>
      </c>
      <c r="B787" s="15" t="s">
        <v>359</v>
      </c>
      <c r="C787" s="15" t="s">
        <v>423</v>
      </c>
      <c r="D787" s="15" t="s">
        <v>424</v>
      </c>
      <c r="F787" s="7" t="s">
        <v>30</v>
      </c>
      <c r="G787" s="7" t="s">
        <v>30</v>
      </c>
      <c r="H787" s="7">
        <v>0</v>
      </c>
      <c r="I787" s="7">
        <v>0</v>
      </c>
      <c r="J787" s="8" t="e">
        <f t="shared" si="12"/>
        <v>#DIV/0!</v>
      </c>
      <c r="T787" s="15" t="s">
        <v>423</v>
      </c>
    </row>
    <row r="788" spans="1:20" x14ac:dyDescent="0.25">
      <c r="A788" s="15" t="s">
        <v>432</v>
      </c>
      <c r="B788" s="15" t="s">
        <v>359</v>
      </c>
      <c r="C788" s="14" t="s">
        <v>158</v>
      </c>
      <c r="D788" s="15" t="s">
        <v>159</v>
      </c>
      <c r="F788" s="7" t="s">
        <v>30</v>
      </c>
      <c r="G788" s="7" t="s">
        <v>30</v>
      </c>
      <c r="H788" s="7">
        <v>0</v>
      </c>
      <c r="I788" s="7">
        <v>0</v>
      </c>
      <c r="J788" s="8" t="e">
        <f t="shared" si="12"/>
        <v>#DIV/0!</v>
      </c>
      <c r="T788" s="14" t="s">
        <v>158</v>
      </c>
    </row>
    <row r="789" spans="1:20" x14ac:dyDescent="0.25">
      <c r="A789" s="15" t="s">
        <v>432</v>
      </c>
      <c r="B789" s="15" t="s">
        <v>359</v>
      </c>
      <c r="C789" s="15" t="s">
        <v>387</v>
      </c>
      <c r="D789" s="15" t="s">
        <v>388</v>
      </c>
      <c r="F789" s="7" t="s">
        <v>30</v>
      </c>
      <c r="H789" s="7">
        <v>0</v>
      </c>
      <c r="I789" s="7">
        <v>0</v>
      </c>
      <c r="J789" s="8" t="e">
        <f t="shared" si="12"/>
        <v>#DIV/0!</v>
      </c>
      <c r="T789" s="15" t="s">
        <v>387</v>
      </c>
    </row>
    <row r="790" spans="1:20" x14ac:dyDescent="0.25">
      <c r="A790" s="15" t="s">
        <v>432</v>
      </c>
      <c r="B790" s="15" t="s">
        <v>359</v>
      </c>
      <c r="C790" s="15" t="s">
        <v>389</v>
      </c>
      <c r="D790" s="15" t="s">
        <v>390</v>
      </c>
      <c r="F790" s="7" t="s">
        <v>30</v>
      </c>
      <c r="G790" s="7" t="s">
        <v>30</v>
      </c>
      <c r="H790" s="7">
        <v>0</v>
      </c>
      <c r="I790" s="7">
        <v>0</v>
      </c>
      <c r="J790" s="8" t="e">
        <f t="shared" si="12"/>
        <v>#DIV/0!</v>
      </c>
      <c r="T790" s="15" t="s">
        <v>389</v>
      </c>
    </row>
    <row r="791" spans="1:20" x14ac:dyDescent="0.25">
      <c r="A791" s="15" t="s">
        <v>432</v>
      </c>
      <c r="B791" s="15" t="s">
        <v>359</v>
      </c>
      <c r="C791" s="15" t="s">
        <v>443</v>
      </c>
      <c r="D791" s="15" t="s">
        <v>393</v>
      </c>
      <c r="F791" s="7" t="s">
        <v>30</v>
      </c>
      <c r="G791" s="7" t="s">
        <v>30</v>
      </c>
      <c r="H791" s="7">
        <v>0</v>
      </c>
      <c r="I791" s="7">
        <v>0</v>
      </c>
      <c r="J791" s="8" t="e">
        <f t="shared" si="12"/>
        <v>#DIV/0!</v>
      </c>
      <c r="T791" s="15" t="s">
        <v>442</v>
      </c>
    </row>
    <row r="792" spans="1:20" x14ac:dyDescent="0.25">
      <c r="A792" s="15" t="s">
        <v>432</v>
      </c>
      <c r="B792" s="15" t="s">
        <v>359</v>
      </c>
      <c r="C792" s="14" t="s">
        <v>296</v>
      </c>
      <c r="D792" s="15" t="s">
        <v>220</v>
      </c>
      <c r="F792" s="7" t="s">
        <v>30</v>
      </c>
      <c r="H792" s="7">
        <v>0</v>
      </c>
      <c r="I792" s="7">
        <v>0</v>
      </c>
      <c r="J792" s="8" t="e">
        <f t="shared" si="12"/>
        <v>#DIV/0!</v>
      </c>
      <c r="T792" s="14" t="s">
        <v>296</v>
      </c>
    </row>
    <row r="793" spans="1:20" x14ac:dyDescent="0.25">
      <c r="A793" s="15" t="s">
        <v>432</v>
      </c>
      <c r="B793" s="15" t="s">
        <v>359</v>
      </c>
      <c r="C793" s="15" t="s">
        <v>444</v>
      </c>
      <c r="D793" s="15" t="s">
        <v>397</v>
      </c>
      <c r="F793" s="7" t="s">
        <v>30</v>
      </c>
      <c r="H793" s="7">
        <v>0</v>
      </c>
      <c r="I793" s="7">
        <v>0</v>
      </c>
      <c r="J793" s="8" t="e">
        <f t="shared" si="12"/>
        <v>#DIV/0!</v>
      </c>
      <c r="T793" s="15" t="s">
        <v>444</v>
      </c>
    </row>
    <row r="794" spans="1:20" x14ac:dyDescent="0.25">
      <c r="A794" s="15" t="s">
        <v>432</v>
      </c>
      <c r="B794" s="15" t="s">
        <v>359</v>
      </c>
      <c r="C794" s="15" t="s">
        <v>188</v>
      </c>
      <c r="D794" s="15" t="s">
        <v>187</v>
      </c>
      <c r="F794" s="7" t="s">
        <v>30</v>
      </c>
      <c r="H794" s="7">
        <v>0</v>
      </c>
      <c r="I794" s="7">
        <v>0</v>
      </c>
      <c r="J794" s="8" t="e">
        <f t="shared" si="12"/>
        <v>#DIV/0!</v>
      </c>
      <c r="T794" s="15" t="s">
        <v>188</v>
      </c>
    </row>
    <row r="795" spans="1:20" x14ac:dyDescent="0.25">
      <c r="A795" s="15" t="s">
        <v>432</v>
      </c>
      <c r="B795" s="15" t="s">
        <v>359</v>
      </c>
      <c r="C795" s="15" t="s">
        <v>445</v>
      </c>
      <c r="D795" s="15" t="s">
        <v>400</v>
      </c>
      <c r="F795" s="7" t="s">
        <v>30</v>
      </c>
      <c r="H795" s="7">
        <v>0</v>
      </c>
      <c r="I795" s="7">
        <v>0</v>
      </c>
      <c r="J795" s="8" t="e">
        <f t="shared" si="12"/>
        <v>#DIV/0!</v>
      </c>
      <c r="T795" s="15" t="s">
        <v>445</v>
      </c>
    </row>
    <row r="796" spans="1:20" x14ac:dyDescent="0.25">
      <c r="A796" s="15" t="s">
        <v>432</v>
      </c>
      <c r="B796" s="15" t="s">
        <v>359</v>
      </c>
      <c r="C796" s="15" t="s">
        <v>353</v>
      </c>
      <c r="D796" s="15" t="s">
        <v>243</v>
      </c>
      <c r="F796" s="7" t="s">
        <v>30</v>
      </c>
      <c r="G796" s="7" t="s">
        <v>30</v>
      </c>
      <c r="H796" s="7">
        <v>0</v>
      </c>
      <c r="I796" s="7">
        <v>0</v>
      </c>
      <c r="J796" s="8" t="e">
        <f t="shared" si="12"/>
        <v>#DIV/0!</v>
      </c>
      <c r="T796" s="15" t="s">
        <v>241</v>
      </c>
    </row>
    <row r="797" spans="1:20" x14ac:dyDescent="0.25">
      <c r="A797" s="15" t="s">
        <v>432</v>
      </c>
      <c r="B797" s="15" t="s">
        <v>359</v>
      </c>
      <c r="C797" s="15" t="s">
        <v>402</v>
      </c>
      <c r="D797" s="15" t="s">
        <v>319</v>
      </c>
      <c r="F797" s="7" t="s">
        <v>30</v>
      </c>
      <c r="G797" s="7" t="s">
        <v>30</v>
      </c>
      <c r="H797" s="7">
        <v>0</v>
      </c>
      <c r="I797" s="7">
        <v>0</v>
      </c>
      <c r="J797" s="8" t="e">
        <f t="shared" si="12"/>
        <v>#DIV/0!</v>
      </c>
      <c r="T797" s="15" t="s">
        <v>402</v>
      </c>
    </row>
    <row r="798" spans="1:20" x14ac:dyDescent="0.25">
      <c r="A798" s="15" t="s">
        <v>432</v>
      </c>
      <c r="B798" s="15" t="s">
        <v>359</v>
      </c>
      <c r="C798" s="15" t="s">
        <v>232</v>
      </c>
      <c r="D798" s="15" t="s">
        <v>233</v>
      </c>
      <c r="F798" s="7" t="s">
        <v>30</v>
      </c>
      <c r="H798" s="7">
        <v>0</v>
      </c>
      <c r="I798" s="7">
        <v>0</v>
      </c>
      <c r="J798" s="8" t="e">
        <f t="shared" si="12"/>
        <v>#DIV/0!</v>
      </c>
      <c r="T798" s="15" t="s">
        <v>231</v>
      </c>
    </row>
    <row r="799" spans="1:20" x14ac:dyDescent="0.25">
      <c r="A799" s="15" t="s">
        <v>432</v>
      </c>
      <c r="B799" s="15" t="s">
        <v>359</v>
      </c>
      <c r="C799" s="15" t="s">
        <v>308</v>
      </c>
      <c r="D799" s="15" t="s">
        <v>157</v>
      </c>
      <c r="G799" s="7" t="s">
        <v>30</v>
      </c>
      <c r="H799" s="7">
        <v>10</v>
      </c>
      <c r="I799" s="7">
        <v>4</v>
      </c>
      <c r="J799" s="8">
        <f t="shared" si="12"/>
        <v>0.7142857142857143</v>
      </c>
      <c r="L799" s="7" t="s">
        <v>30</v>
      </c>
      <c r="T799" s="14" t="s">
        <v>178</v>
      </c>
    </row>
    <row r="800" spans="1:20" x14ac:dyDescent="0.25">
      <c r="A800" s="15" t="s">
        <v>432</v>
      </c>
      <c r="B800" s="15" t="s">
        <v>359</v>
      </c>
      <c r="C800" s="14" t="s">
        <v>257</v>
      </c>
      <c r="D800" s="15" t="s">
        <v>215</v>
      </c>
      <c r="G800" s="7" t="s">
        <v>30</v>
      </c>
      <c r="H800" s="7">
        <v>9</v>
      </c>
      <c r="I800" s="7">
        <v>5</v>
      </c>
      <c r="J800" s="8">
        <f t="shared" si="12"/>
        <v>0.6428571428571429</v>
      </c>
      <c r="T800" s="14" t="s">
        <v>257</v>
      </c>
    </row>
    <row r="801" spans="1:20" x14ac:dyDescent="0.25">
      <c r="A801" s="15" t="s">
        <v>432</v>
      </c>
      <c r="B801" s="15" t="s">
        <v>359</v>
      </c>
      <c r="C801" s="15" t="s">
        <v>216</v>
      </c>
      <c r="D801" s="15" t="s">
        <v>164</v>
      </c>
      <c r="H801" s="7">
        <v>9</v>
      </c>
      <c r="I801" s="7">
        <v>5</v>
      </c>
      <c r="J801" s="8">
        <f t="shared" si="12"/>
        <v>0.6428571428571429</v>
      </c>
      <c r="L801" s="7" t="s">
        <v>30</v>
      </c>
      <c r="T801" s="15" t="s">
        <v>216</v>
      </c>
    </row>
    <row r="802" spans="1:20" x14ac:dyDescent="0.25">
      <c r="A802" s="15" t="s">
        <v>432</v>
      </c>
      <c r="B802" s="15" t="s">
        <v>359</v>
      </c>
      <c r="C802" s="15" t="s">
        <v>404</v>
      </c>
      <c r="D802" s="15" t="s">
        <v>171</v>
      </c>
      <c r="H802" s="7">
        <v>9</v>
      </c>
      <c r="I802" s="7">
        <v>5</v>
      </c>
      <c r="J802" s="8">
        <f t="shared" si="12"/>
        <v>0.6428571428571429</v>
      </c>
      <c r="L802" s="7" t="s">
        <v>30</v>
      </c>
      <c r="T802" s="15" t="s">
        <v>176</v>
      </c>
    </row>
    <row r="803" spans="1:20" x14ac:dyDescent="0.25">
      <c r="A803" s="15" t="s">
        <v>432</v>
      </c>
      <c r="B803" s="15" t="s">
        <v>359</v>
      </c>
      <c r="C803" s="15" t="s">
        <v>331</v>
      </c>
      <c r="D803" s="15" t="s">
        <v>154</v>
      </c>
      <c r="H803" s="7">
        <v>9</v>
      </c>
      <c r="I803" s="7">
        <v>5</v>
      </c>
      <c r="J803" s="8">
        <f t="shared" si="12"/>
        <v>0.6428571428571429</v>
      </c>
      <c r="L803" s="7" t="s">
        <v>30</v>
      </c>
      <c r="T803" s="14" t="s">
        <v>155</v>
      </c>
    </row>
    <row r="804" spans="1:20" x14ac:dyDescent="0.25">
      <c r="A804" s="15" t="s">
        <v>432</v>
      </c>
      <c r="B804" s="15" t="s">
        <v>359</v>
      </c>
      <c r="C804" s="15" t="s">
        <v>446</v>
      </c>
      <c r="D804" s="15" t="s">
        <v>251</v>
      </c>
      <c r="G804" s="7" t="s">
        <v>30</v>
      </c>
      <c r="H804" s="7">
        <v>8</v>
      </c>
      <c r="I804" s="7">
        <v>6</v>
      </c>
      <c r="J804" s="8">
        <f t="shared" si="12"/>
        <v>0.5714285714285714</v>
      </c>
      <c r="T804" s="15" t="s">
        <v>411</v>
      </c>
    </row>
    <row r="805" spans="1:20" x14ac:dyDescent="0.25">
      <c r="A805" s="15" t="s">
        <v>432</v>
      </c>
      <c r="B805" s="15" t="s">
        <v>359</v>
      </c>
      <c r="C805" s="15" t="s">
        <v>278</v>
      </c>
      <c r="D805" s="15" t="s">
        <v>171</v>
      </c>
      <c r="G805" s="7" t="s">
        <v>30</v>
      </c>
      <c r="H805" s="7">
        <v>7</v>
      </c>
      <c r="I805" s="7">
        <v>7</v>
      </c>
      <c r="J805" s="8">
        <f t="shared" si="12"/>
        <v>0.5</v>
      </c>
      <c r="T805" s="15" t="s">
        <v>278</v>
      </c>
    </row>
    <row r="806" spans="1:20" x14ac:dyDescent="0.25">
      <c r="A806" s="15" t="s">
        <v>432</v>
      </c>
      <c r="B806" s="15" t="s">
        <v>359</v>
      </c>
      <c r="C806" s="15" t="s">
        <v>406</v>
      </c>
      <c r="D806" s="15" t="s">
        <v>326</v>
      </c>
      <c r="F806" s="7" t="s">
        <v>30</v>
      </c>
      <c r="G806" s="7" t="s">
        <v>30</v>
      </c>
      <c r="H806" s="7">
        <v>5</v>
      </c>
      <c r="I806" s="7">
        <v>9</v>
      </c>
      <c r="J806" s="8">
        <f t="shared" si="12"/>
        <v>0.35714285714285715</v>
      </c>
      <c r="T806" s="15" t="s">
        <v>406</v>
      </c>
    </row>
    <row r="807" spans="1:20" x14ac:dyDescent="0.25">
      <c r="A807" s="15" t="s">
        <v>432</v>
      </c>
      <c r="B807" s="15" t="s">
        <v>359</v>
      </c>
      <c r="C807" s="15" t="s">
        <v>316</v>
      </c>
      <c r="D807" s="15" t="s">
        <v>173</v>
      </c>
      <c r="G807" s="7" t="s">
        <v>30</v>
      </c>
      <c r="H807" s="7">
        <v>4</v>
      </c>
      <c r="I807" s="7">
        <v>10</v>
      </c>
      <c r="J807" s="8">
        <f t="shared" si="12"/>
        <v>0.2857142857142857</v>
      </c>
      <c r="T807" s="15" t="s">
        <v>316</v>
      </c>
    </row>
    <row r="808" spans="1:20" x14ac:dyDescent="0.25">
      <c r="A808" s="15" t="s">
        <v>432</v>
      </c>
      <c r="B808" s="15" t="s">
        <v>359</v>
      </c>
      <c r="C808" s="14" t="s">
        <v>280</v>
      </c>
      <c r="D808" s="15" t="s">
        <v>164</v>
      </c>
      <c r="G808" s="7" t="s">
        <v>30</v>
      </c>
      <c r="H808" s="7">
        <v>3</v>
      </c>
      <c r="I808" s="7">
        <v>11</v>
      </c>
      <c r="J808" s="8">
        <f t="shared" si="12"/>
        <v>0.21428571428571427</v>
      </c>
      <c r="T808" s="14" t="s">
        <v>279</v>
      </c>
    </row>
    <row r="809" spans="1:20" x14ac:dyDescent="0.25">
      <c r="A809" s="15" t="s">
        <v>432</v>
      </c>
      <c r="B809" s="15" t="s">
        <v>359</v>
      </c>
      <c r="C809" s="15" t="s">
        <v>447</v>
      </c>
      <c r="D809" s="15" t="s">
        <v>171</v>
      </c>
      <c r="G809" s="7" t="s">
        <v>30</v>
      </c>
      <c r="H809" s="7">
        <v>2</v>
      </c>
      <c r="I809" s="7">
        <v>12</v>
      </c>
      <c r="J809" s="8">
        <f t="shared" si="12"/>
        <v>0.14285714285714285</v>
      </c>
      <c r="T809" s="14" t="s">
        <v>239</v>
      </c>
    </row>
    <row r="810" spans="1:20" x14ac:dyDescent="0.25">
      <c r="A810" s="15" t="s">
        <v>432</v>
      </c>
      <c r="B810" s="15" t="s">
        <v>359</v>
      </c>
      <c r="C810" s="15" t="s">
        <v>448</v>
      </c>
      <c r="D810" s="15" t="s">
        <v>376</v>
      </c>
      <c r="F810" s="7" t="s">
        <v>30</v>
      </c>
      <c r="G810" s="7" t="s">
        <v>30</v>
      </c>
      <c r="H810" s="7">
        <v>0</v>
      </c>
      <c r="I810" s="7">
        <v>14</v>
      </c>
      <c r="J810" s="8">
        <f t="shared" si="12"/>
        <v>0</v>
      </c>
      <c r="T810" s="15" t="s">
        <v>448</v>
      </c>
    </row>
    <row r="811" spans="1:20" x14ac:dyDescent="0.25">
      <c r="A811" s="15" t="s">
        <v>449</v>
      </c>
      <c r="B811" s="15" t="s">
        <v>359</v>
      </c>
      <c r="C811" s="15" t="s">
        <v>331</v>
      </c>
      <c r="D811" s="15" t="s">
        <v>154</v>
      </c>
      <c r="G811" s="7" t="s">
        <v>30</v>
      </c>
      <c r="H811" s="7">
        <v>12</v>
      </c>
      <c r="I811" s="7">
        <v>2</v>
      </c>
      <c r="J811" s="8">
        <f t="shared" si="12"/>
        <v>0.8571428571428571</v>
      </c>
      <c r="L811" s="7" t="s">
        <v>30</v>
      </c>
      <c r="M811" s="7" t="s">
        <v>30</v>
      </c>
      <c r="T811" s="14" t="s">
        <v>155</v>
      </c>
    </row>
    <row r="812" spans="1:20" x14ac:dyDescent="0.25">
      <c r="A812" s="15" t="s">
        <v>449</v>
      </c>
      <c r="B812" s="15" t="s">
        <v>359</v>
      </c>
      <c r="C812" s="15" t="s">
        <v>278</v>
      </c>
      <c r="D812" s="15" t="s">
        <v>171</v>
      </c>
      <c r="H812" s="7">
        <v>10</v>
      </c>
      <c r="I812" s="7">
        <v>4</v>
      </c>
      <c r="J812" s="8">
        <f t="shared" si="12"/>
        <v>0.7142857142857143</v>
      </c>
      <c r="L812" s="7" t="s">
        <v>30</v>
      </c>
      <c r="M812" s="7" t="s">
        <v>30</v>
      </c>
      <c r="N812" s="7" t="s">
        <v>30</v>
      </c>
      <c r="T812" s="15" t="s">
        <v>278</v>
      </c>
    </row>
    <row r="813" spans="1:20" x14ac:dyDescent="0.25">
      <c r="A813" s="15" t="s">
        <v>449</v>
      </c>
      <c r="B813" s="15" t="s">
        <v>359</v>
      </c>
      <c r="C813" s="15" t="s">
        <v>309</v>
      </c>
      <c r="D813" s="15" t="s">
        <v>152</v>
      </c>
      <c r="F813" s="7" t="s">
        <v>30</v>
      </c>
      <c r="G813" s="7" t="s">
        <v>30</v>
      </c>
      <c r="H813" s="7">
        <v>8</v>
      </c>
      <c r="I813" s="7">
        <v>4</v>
      </c>
      <c r="J813" s="8">
        <f t="shared" si="12"/>
        <v>0.66666666666666663</v>
      </c>
      <c r="L813" s="7" t="s">
        <v>30</v>
      </c>
      <c r="M813" s="7" t="s">
        <v>30</v>
      </c>
      <c r="T813" s="15" t="s">
        <v>309</v>
      </c>
    </row>
    <row r="814" spans="1:20" x14ac:dyDescent="0.25">
      <c r="A814" s="15" t="s">
        <v>449</v>
      </c>
      <c r="B814" s="15" t="s">
        <v>359</v>
      </c>
      <c r="C814" s="15" t="s">
        <v>216</v>
      </c>
      <c r="D814" s="15" t="s">
        <v>164</v>
      </c>
      <c r="G814" s="7" t="s">
        <v>30</v>
      </c>
      <c r="H814" s="7">
        <v>7</v>
      </c>
      <c r="I814" s="7">
        <v>5</v>
      </c>
      <c r="J814" s="8">
        <f t="shared" si="12"/>
        <v>0.58333333333333337</v>
      </c>
      <c r="L814" s="7" t="s">
        <v>30</v>
      </c>
      <c r="M814" s="7" t="s">
        <v>30</v>
      </c>
      <c r="N814" s="7" t="s">
        <v>30</v>
      </c>
      <c r="O814" s="16" t="s">
        <v>30</v>
      </c>
      <c r="T814" s="15" t="s">
        <v>216</v>
      </c>
    </row>
    <row r="815" spans="1:20" x14ac:dyDescent="0.25">
      <c r="A815" s="15" t="s">
        <v>449</v>
      </c>
      <c r="B815" s="15" t="s">
        <v>359</v>
      </c>
      <c r="C815" s="15" t="s">
        <v>450</v>
      </c>
      <c r="D815" s="15" t="s">
        <v>361</v>
      </c>
      <c r="F815" s="7" t="s">
        <v>30</v>
      </c>
      <c r="H815" s="7">
        <v>0</v>
      </c>
      <c r="I815" s="7">
        <v>0</v>
      </c>
      <c r="J815" s="8" t="e">
        <f t="shared" si="12"/>
        <v>#DIV/0!</v>
      </c>
      <c r="T815" s="15" t="s">
        <v>450</v>
      </c>
    </row>
    <row r="816" spans="1:20" x14ac:dyDescent="0.25">
      <c r="A816" s="15" t="s">
        <v>449</v>
      </c>
      <c r="B816" s="15" t="s">
        <v>359</v>
      </c>
      <c r="C816" s="15" t="s">
        <v>452</v>
      </c>
      <c r="D816" s="15" t="s">
        <v>364</v>
      </c>
      <c r="F816" s="7" t="s">
        <v>30</v>
      </c>
      <c r="H816" s="7">
        <v>0</v>
      </c>
      <c r="I816" s="7">
        <v>0</v>
      </c>
      <c r="J816" s="8" t="e">
        <f t="shared" si="12"/>
        <v>#DIV/0!</v>
      </c>
      <c r="T816" s="15" t="s">
        <v>451</v>
      </c>
    </row>
    <row r="817" spans="1:20" x14ac:dyDescent="0.25">
      <c r="A817" s="15" t="s">
        <v>449</v>
      </c>
      <c r="B817" s="15" t="s">
        <v>359</v>
      </c>
      <c r="C817" s="15" t="s">
        <v>453</v>
      </c>
      <c r="D817" s="15" t="s">
        <v>368</v>
      </c>
      <c r="F817" s="7" t="s">
        <v>30</v>
      </c>
      <c r="G817" s="7" t="s">
        <v>30</v>
      </c>
      <c r="H817" s="7">
        <v>0</v>
      </c>
      <c r="I817" s="7">
        <v>0</v>
      </c>
      <c r="J817" s="8" t="e">
        <f t="shared" si="12"/>
        <v>#DIV/0!</v>
      </c>
      <c r="T817" s="15" t="s">
        <v>453</v>
      </c>
    </row>
    <row r="818" spans="1:20" x14ac:dyDescent="0.25">
      <c r="A818" s="15" t="s">
        <v>449</v>
      </c>
      <c r="B818" s="15" t="s">
        <v>359</v>
      </c>
      <c r="C818" s="15" t="s">
        <v>416</v>
      </c>
      <c r="D818" s="15" t="s">
        <v>371</v>
      </c>
      <c r="F818" s="7" t="s">
        <v>30</v>
      </c>
      <c r="H818" s="7">
        <v>0</v>
      </c>
      <c r="I818" s="7">
        <v>0</v>
      </c>
      <c r="J818" s="8" t="e">
        <f t="shared" si="12"/>
        <v>#DIV/0!</v>
      </c>
      <c r="T818" s="15" t="s">
        <v>416</v>
      </c>
    </row>
    <row r="819" spans="1:20" x14ac:dyDescent="0.25">
      <c r="A819" s="15" t="s">
        <v>449</v>
      </c>
      <c r="B819" s="15" t="s">
        <v>359</v>
      </c>
      <c r="C819" s="15" t="s">
        <v>438</v>
      </c>
      <c r="D819" s="15" t="s">
        <v>454</v>
      </c>
      <c r="F819" s="7" t="s">
        <v>30</v>
      </c>
      <c r="G819" s="7" t="s">
        <v>30</v>
      </c>
      <c r="H819" s="7">
        <v>0</v>
      </c>
      <c r="I819" s="7">
        <v>0</v>
      </c>
      <c r="J819" s="8" t="e">
        <f t="shared" si="12"/>
        <v>#DIV/0!</v>
      </c>
      <c r="T819" s="15" t="s">
        <v>438</v>
      </c>
    </row>
    <row r="820" spans="1:20" x14ac:dyDescent="0.25">
      <c r="A820" s="15" t="s">
        <v>449</v>
      </c>
      <c r="B820" s="15" t="s">
        <v>359</v>
      </c>
      <c r="C820" s="15" t="s">
        <v>448</v>
      </c>
      <c r="D820" s="15" t="s">
        <v>376</v>
      </c>
      <c r="F820" s="7" t="s">
        <v>30</v>
      </c>
      <c r="G820" s="7" t="s">
        <v>30</v>
      </c>
      <c r="H820" s="7">
        <v>0</v>
      </c>
      <c r="I820" s="7">
        <v>0</v>
      </c>
      <c r="J820" s="8" t="e">
        <f t="shared" si="12"/>
        <v>#DIV/0!</v>
      </c>
      <c r="T820" s="15" t="s">
        <v>448</v>
      </c>
    </row>
    <row r="821" spans="1:20" x14ac:dyDescent="0.25">
      <c r="A821" s="15" t="s">
        <v>449</v>
      </c>
      <c r="B821" s="15" t="s">
        <v>359</v>
      </c>
      <c r="C821" s="15" t="s">
        <v>377</v>
      </c>
      <c r="D821" s="15" t="s">
        <v>378</v>
      </c>
      <c r="F821" s="7" t="s">
        <v>30</v>
      </c>
      <c r="H821" s="7">
        <v>0</v>
      </c>
      <c r="I821" s="7">
        <v>0</v>
      </c>
      <c r="J821" s="8" t="e">
        <f t="shared" si="12"/>
        <v>#DIV/0!</v>
      </c>
      <c r="T821" s="15" t="s">
        <v>377</v>
      </c>
    </row>
    <row r="822" spans="1:20" x14ac:dyDescent="0.25">
      <c r="A822" s="15" t="s">
        <v>449</v>
      </c>
      <c r="B822" s="15" t="s">
        <v>359</v>
      </c>
      <c r="C822" s="15" t="s">
        <v>455</v>
      </c>
      <c r="D822" s="15" t="s">
        <v>380</v>
      </c>
      <c r="F822" s="7" t="s">
        <v>30</v>
      </c>
      <c r="G822" s="7" t="s">
        <v>30</v>
      </c>
      <c r="H822" s="7">
        <v>0</v>
      </c>
      <c r="I822" s="7">
        <v>0</v>
      </c>
      <c r="J822" s="8" t="e">
        <f t="shared" si="12"/>
        <v>#DIV/0!</v>
      </c>
      <c r="T822" s="15" t="s">
        <v>455</v>
      </c>
    </row>
    <row r="823" spans="1:20" x14ac:dyDescent="0.25">
      <c r="A823" s="15" t="s">
        <v>449</v>
      </c>
      <c r="B823" s="15" t="s">
        <v>359</v>
      </c>
      <c r="C823" s="15" t="s">
        <v>381</v>
      </c>
      <c r="D823" s="15" t="s">
        <v>382</v>
      </c>
      <c r="F823" s="7" t="s">
        <v>30</v>
      </c>
      <c r="H823" s="7">
        <v>0</v>
      </c>
      <c r="I823" s="7">
        <v>0</v>
      </c>
      <c r="J823" s="8" t="e">
        <f t="shared" si="12"/>
        <v>#DIV/0!</v>
      </c>
      <c r="T823" s="15" t="s">
        <v>381</v>
      </c>
    </row>
    <row r="824" spans="1:20" x14ac:dyDescent="0.25">
      <c r="A824" s="15" t="s">
        <v>449</v>
      </c>
      <c r="B824" s="15" t="s">
        <v>359</v>
      </c>
      <c r="C824" s="15" t="s">
        <v>457</v>
      </c>
      <c r="D824" s="15" t="s">
        <v>385</v>
      </c>
      <c r="F824" s="7" t="s">
        <v>30</v>
      </c>
      <c r="H824" s="7">
        <v>0</v>
      </c>
      <c r="I824" s="7">
        <v>0</v>
      </c>
      <c r="J824" s="8" t="e">
        <f t="shared" si="12"/>
        <v>#DIV/0!</v>
      </c>
      <c r="T824" s="15" t="s">
        <v>456</v>
      </c>
    </row>
    <row r="825" spans="1:20" x14ac:dyDescent="0.25">
      <c r="A825" s="15" t="s">
        <v>449</v>
      </c>
      <c r="B825" s="15" t="s">
        <v>359</v>
      </c>
      <c r="C825" s="15" t="s">
        <v>440</v>
      </c>
      <c r="D825" s="15" t="s">
        <v>441</v>
      </c>
      <c r="F825" s="7" t="s">
        <v>30</v>
      </c>
      <c r="H825" s="7">
        <v>0</v>
      </c>
      <c r="I825" s="7">
        <v>0</v>
      </c>
      <c r="J825" s="8" t="e">
        <f t="shared" si="12"/>
        <v>#DIV/0!</v>
      </c>
      <c r="T825" s="15" t="s">
        <v>440</v>
      </c>
    </row>
    <row r="826" spans="1:20" x14ac:dyDescent="0.25">
      <c r="A826" s="15" t="s">
        <v>449</v>
      </c>
      <c r="B826" s="15" t="s">
        <v>359</v>
      </c>
      <c r="C826" s="15" t="s">
        <v>160</v>
      </c>
      <c r="D826" s="15" t="s">
        <v>161</v>
      </c>
      <c r="G826" s="7" t="s">
        <v>30</v>
      </c>
      <c r="H826" s="7">
        <v>0</v>
      </c>
      <c r="I826" s="7">
        <v>0</v>
      </c>
      <c r="J826" s="8" t="e">
        <f t="shared" si="12"/>
        <v>#DIV/0!</v>
      </c>
      <c r="T826" s="15" t="s">
        <v>160</v>
      </c>
    </row>
    <row r="827" spans="1:20" x14ac:dyDescent="0.25">
      <c r="A827" s="15" t="s">
        <v>449</v>
      </c>
      <c r="B827" s="15" t="s">
        <v>359</v>
      </c>
      <c r="C827" s="15" t="s">
        <v>423</v>
      </c>
      <c r="D827" s="15" t="s">
        <v>424</v>
      </c>
      <c r="G827" s="7" t="s">
        <v>30</v>
      </c>
      <c r="H827" s="7">
        <v>0</v>
      </c>
      <c r="I827" s="7">
        <v>0</v>
      </c>
      <c r="J827" s="8" t="e">
        <f t="shared" si="12"/>
        <v>#DIV/0!</v>
      </c>
      <c r="T827" s="15" t="s">
        <v>423</v>
      </c>
    </row>
    <row r="828" spans="1:20" x14ac:dyDescent="0.25">
      <c r="A828" s="15" t="s">
        <v>449</v>
      </c>
      <c r="B828" s="15" t="s">
        <v>359</v>
      </c>
      <c r="C828" s="14" t="s">
        <v>158</v>
      </c>
      <c r="D828" s="15" t="s">
        <v>159</v>
      </c>
      <c r="F828" s="7" t="s">
        <v>30</v>
      </c>
      <c r="H828" s="7">
        <v>0</v>
      </c>
      <c r="I828" s="7">
        <v>0</v>
      </c>
      <c r="J828" s="8" t="e">
        <f t="shared" si="12"/>
        <v>#DIV/0!</v>
      </c>
      <c r="T828" s="14" t="s">
        <v>158</v>
      </c>
    </row>
    <row r="829" spans="1:20" x14ac:dyDescent="0.25">
      <c r="A829" s="15" t="s">
        <v>449</v>
      </c>
      <c r="B829" s="15" t="s">
        <v>359</v>
      </c>
      <c r="C829" s="15" t="s">
        <v>458</v>
      </c>
      <c r="D829" s="15" t="s">
        <v>388</v>
      </c>
      <c r="F829" s="7" t="s">
        <v>30</v>
      </c>
      <c r="H829" s="7">
        <v>0</v>
      </c>
      <c r="I829" s="7">
        <v>0</v>
      </c>
      <c r="J829" s="8" t="e">
        <f t="shared" si="12"/>
        <v>#DIV/0!</v>
      </c>
      <c r="T829" s="15" t="s">
        <v>458</v>
      </c>
    </row>
    <row r="830" spans="1:20" x14ac:dyDescent="0.25">
      <c r="A830" s="15" t="s">
        <v>449</v>
      </c>
      <c r="B830" s="15" t="s">
        <v>359</v>
      </c>
      <c r="C830" s="15" t="s">
        <v>459</v>
      </c>
      <c r="D830" s="15" t="s">
        <v>393</v>
      </c>
      <c r="F830" s="7" t="s">
        <v>30</v>
      </c>
      <c r="H830" s="7">
        <v>0</v>
      </c>
      <c r="I830" s="7">
        <v>0</v>
      </c>
      <c r="J830" s="8" t="e">
        <f t="shared" si="12"/>
        <v>#DIV/0!</v>
      </c>
      <c r="T830" s="15" t="s">
        <v>391</v>
      </c>
    </row>
    <row r="831" spans="1:20" x14ac:dyDescent="0.25">
      <c r="A831" s="15" t="s">
        <v>449</v>
      </c>
      <c r="B831" s="15" t="s">
        <v>359</v>
      </c>
      <c r="C831" s="14" t="s">
        <v>296</v>
      </c>
      <c r="D831" s="15" t="s">
        <v>220</v>
      </c>
      <c r="F831" s="7" t="s">
        <v>30</v>
      </c>
      <c r="G831" s="7" t="s">
        <v>30</v>
      </c>
      <c r="H831" s="7">
        <v>0</v>
      </c>
      <c r="I831" s="7">
        <v>0</v>
      </c>
      <c r="J831" s="8" t="e">
        <f t="shared" si="12"/>
        <v>#DIV/0!</v>
      </c>
      <c r="T831" s="14" t="s">
        <v>296</v>
      </c>
    </row>
    <row r="832" spans="1:20" x14ac:dyDescent="0.25">
      <c r="A832" s="15" t="s">
        <v>449</v>
      </c>
      <c r="B832" s="15" t="s">
        <v>359</v>
      </c>
      <c r="C832" s="15" t="s">
        <v>406</v>
      </c>
      <c r="D832" s="15" t="s">
        <v>326</v>
      </c>
      <c r="F832" s="7" t="s">
        <v>30</v>
      </c>
      <c r="G832" s="7" t="s">
        <v>30</v>
      </c>
      <c r="H832" s="7">
        <v>0</v>
      </c>
      <c r="I832" s="7">
        <v>0</v>
      </c>
      <c r="J832" s="8" t="e">
        <f t="shared" si="12"/>
        <v>#DIV/0!</v>
      </c>
      <c r="T832" s="15" t="s">
        <v>406</v>
      </c>
    </row>
    <row r="833" spans="1:20" x14ac:dyDescent="0.25">
      <c r="A833" s="15" t="s">
        <v>449</v>
      </c>
      <c r="B833" s="15" t="s">
        <v>359</v>
      </c>
      <c r="C833" s="15" t="s">
        <v>444</v>
      </c>
      <c r="D833" s="15" t="s">
        <v>397</v>
      </c>
      <c r="F833" s="7" t="s">
        <v>30</v>
      </c>
      <c r="H833" s="7">
        <v>0</v>
      </c>
      <c r="I833" s="7">
        <v>0</v>
      </c>
      <c r="J833" s="8" t="e">
        <f t="shared" si="12"/>
        <v>#DIV/0!</v>
      </c>
      <c r="T833" s="15" t="s">
        <v>444</v>
      </c>
    </row>
    <row r="834" spans="1:20" x14ac:dyDescent="0.25">
      <c r="A834" s="15" t="s">
        <v>449</v>
      </c>
      <c r="B834" s="15" t="s">
        <v>359</v>
      </c>
      <c r="C834" s="15" t="s">
        <v>188</v>
      </c>
      <c r="D834" s="15" t="s">
        <v>187</v>
      </c>
      <c r="F834" s="7" t="s">
        <v>30</v>
      </c>
      <c r="G834" s="7" t="s">
        <v>30</v>
      </c>
      <c r="H834" s="7">
        <v>0</v>
      </c>
      <c r="I834" s="7">
        <v>0</v>
      </c>
      <c r="J834" s="8" t="e">
        <f t="shared" ref="J834:J897" si="13">H834/SUM(H834:I834)</f>
        <v>#DIV/0!</v>
      </c>
      <c r="T834" s="15" t="s">
        <v>188</v>
      </c>
    </row>
    <row r="835" spans="1:20" x14ac:dyDescent="0.25">
      <c r="A835" s="15" t="s">
        <v>449</v>
      </c>
      <c r="B835" s="15" t="s">
        <v>359</v>
      </c>
      <c r="C835" s="15" t="s">
        <v>353</v>
      </c>
      <c r="D835" s="15" t="s">
        <v>243</v>
      </c>
      <c r="F835" s="7" t="s">
        <v>30</v>
      </c>
      <c r="G835" s="7" t="s">
        <v>30</v>
      </c>
      <c r="H835" s="7">
        <v>0</v>
      </c>
      <c r="I835" s="7">
        <v>0</v>
      </c>
      <c r="J835" s="8" t="e">
        <f t="shared" si="13"/>
        <v>#DIV/0!</v>
      </c>
      <c r="T835" s="15" t="s">
        <v>241</v>
      </c>
    </row>
    <row r="836" spans="1:20" x14ac:dyDescent="0.25">
      <c r="A836" s="15" t="s">
        <v>449</v>
      </c>
      <c r="B836" s="15" t="s">
        <v>359</v>
      </c>
      <c r="C836" s="15" t="s">
        <v>460</v>
      </c>
      <c r="D836" s="15" t="s">
        <v>324</v>
      </c>
      <c r="F836" s="7" t="s">
        <v>30</v>
      </c>
      <c r="H836" s="7">
        <v>0</v>
      </c>
      <c r="I836" s="7">
        <v>0</v>
      </c>
      <c r="J836" s="8" t="e">
        <f t="shared" si="13"/>
        <v>#DIV/0!</v>
      </c>
      <c r="T836" s="15" t="s">
        <v>460</v>
      </c>
    </row>
    <row r="837" spans="1:20" x14ac:dyDescent="0.25">
      <c r="A837" s="15" t="s">
        <v>449</v>
      </c>
      <c r="B837" s="15" t="s">
        <v>359</v>
      </c>
      <c r="C837" s="15" t="s">
        <v>462</v>
      </c>
      <c r="D837" s="15" t="s">
        <v>319</v>
      </c>
      <c r="F837" s="7" t="s">
        <v>30</v>
      </c>
      <c r="H837" s="7">
        <v>0</v>
      </c>
      <c r="I837" s="7">
        <v>0</v>
      </c>
      <c r="J837" s="8" t="e">
        <f t="shared" si="13"/>
        <v>#DIV/0!</v>
      </c>
      <c r="T837" s="15" t="s">
        <v>461</v>
      </c>
    </row>
    <row r="838" spans="1:20" x14ac:dyDescent="0.25">
      <c r="A838" s="15" t="s">
        <v>449</v>
      </c>
      <c r="B838" s="15" t="s">
        <v>359</v>
      </c>
      <c r="C838" s="15" t="s">
        <v>308</v>
      </c>
      <c r="D838" s="15" t="s">
        <v>157</v>
      </c>
      <c r="F838" s="7" t="s">
        <v>30</v>
      </c>
      <c r="G838" s="7" t="s">
        <v>30</v>
      </c>
      <c r="H838" s="7">
        <v>0</v>
      </c>
      <c r="I838" s="7">
        <v>0</v>
      </c>
      <c r="J838" s="8" t="e">
        <f t="shared" si="13"/>
        <v>#DIV/0!</v>
      </c>
      <c r="T838" s="14" t="s">
        <v>178</v>
      </c>
    </row>
    <row r="839" spans="1:20" x14ac:dyDescent="0.25">
      <c r="A839" s="15" t="s">
        <v>449</v>
      </c>
      <c r="B839" s="15" t="s">
        <v>359</v>
      </c>
      <c r="C839" s="15" t="s">
        <v>232</v>
      </c>
      <c r="D839" s="15" t="s">
        <v>233</v>
      </c>
      <c r="F839" s="7" t="s">
        <v>30</v>
      </c>
      <c r="G839" s="7" t="s">
        <v>30</v>
      </c>
      <c r="H839" s="7">
        <v>0</v>
      </c>
      <c r="I839" s="7">
        <v>0</v>
      </c>
      <c r="J839" s="8" t="e">
        <f t="shared" si="13"/>
        <v>#DIV/0!</v>
      </c>
      <c r="T839" s="15" t="s">
        <v>231</v>
      </c>
    </row>
    <row r="840" spans="1:20" x14ac:dyDescent="0.25">
      <c r="A840" s="15" t="s">
        <v>449</v>
      </c>
      <c r="B840" s="15" t="s">
        <v>359</v>
      </c>
      <c r="C840" s="14" t="s">
        <v>165</v>
      </c>
      <c r="D840" s="15" t="s">
        <v>312</v>
      </c>
      <c r="G840" s="7" t="s">
        <v>30</v>
      </c>
      <c r="H840" s="7">
        <v>0</v>
      </c>
      <c r="I840" s="7">
        <v>0</v>
      </c>
      <c r="J840" s="8" t="e">
        <f t="shared" si="13"/>
        <v>#DIV/0!</v>
      </c>
      <c r="T840" s="14" t="s">
        <v>165</v>
      </c>
    </row>
    <row r="841" spans="1:20" x14ac:dyDescent="0.25">
      <c r="A841" s="15" t="s">
        <v>449</v>
      </c>
      <c r="B841" s="15" t="s">
        <v>359</v>
      </c>
      <c r="C841" s="14" t="s">
        <v>174</v>
      </c>
      <c r="D841" s="15" t="s">
        <v>312</v>
      </c>
      <c r="H841" s="7">
        <v>0</v>
      </c>
      <c r="I841" s="7">
        <v>0</v>
      </c>
      <c r="J841" s="8" t="e">
        <f t="shared" si="13"/>
        <v>#DIV/0!</v>
      </c>
      <c r="T841" s="14" t="s">
        <v>174</v>
      </c>
    </row>
    <row r="842" spans="1:20" x14ac:dyDescent="0.25">
      <c r="A842" s="15" t="s">
        <v>449</v>
      </c>
      <c r="B842" s="15" t="s">
        <v>359</v>
      </c>
      <c r="C842" s="15" t="s">
        <v>315</v>
      </c>
      <c r="D842" s="15" t="s">
        <v>171</v>
      </c>
      <c r="G842" s="7" t="s">
        <v>30</v>
      </c>
      <c r="H842" s="7">
        <v>7</v>
      </c>
      <c r="I842" s="7">
        <v>5</v>
      </c>
      <c r="J842" s="8">
        <f t="shared" si="13"/>
        <v>0.58333333333333337</v>
      </c>
      <c r="L842" s="7" t="s">
        <v>30</v>
      </c>
      <c r="T842" s="15" t="s">
        <v>288</v>
      </c>
    </row>
    <row r="843" spans="1:20" x14ac:dyDescent="0.25">
      <c r="A843" s="15" t="s">
        <v>449</v>
      </c>
      <c r="B843" s="15" t="s">
        <v>359</v>
      </c>
      <c r="C843" s="14" t="s">
        <v>280</v>
      </c>
      <c r="D843" s="15" t="s">
        <v>164</v>
      </c>
      <c r="G843" s="7" t="s">
        <v>30</v>
      </c>
      <c r="H843" s="7">
        <v>8</v>
      </c>
      <c r="I843" s="7">
        <v>6</v>
      </c>
      <c r="J843" s="8">
        <f t="shared" si="13"/>
        <v>0.5714285714285714</v>
      </c>
      <c r="L843" s="7" t="s">
        <v>30</v>
      </c>
      <c r="T843" s="14" t="s">
        <v>279</v>
      </c>
    </row>
    <row r="844" spans="1:20" x14ac:dyDescent="0.25">
      <c r="A844" s="15" t="s">
        <v>449</v>
      </c>
      <c r="B844" s="15" t="s">
        <v>359</v>
      </c>
      <c r="C844" s="15" t="s">
        <v>316</v>
      </c>
      <c r="D844" s="15" t="s">
        <v>173</v>
      </c>
      <c r="F844" s="7" t="s">
        <v>30</v>
      </c>
      <c r="G844" s="7" t="s">
        <v>30</v>
      </c>
      <c r="H844" s="7">
        <v>8</v>
      </c>
      <c r="I844" s="7">
        <v>6</v>
      </c>
      <c r="J844" s="8">
        <f t="shared" si="13"/>
        <v>0.5714285714285714</v>
      </c>
      <c r="T844" s="15" t="s">
        <v>316</v>
      </c>
    </row>
    <row r="845" spans="1:20" x14ac:dyDescent="0.25">
      <c r="A845" s="15" t="s">
        <v>449</v>
      </c>
      <c r="B845" s="15" t="s">
        <v>359</v>
      </c>
      <c r="C845" s="14" t="s">
        <v>149</v>
      </c>
      <c r="D845" s="15" t="s">
        <v>152</v>
      </c>
      <c r="G845" s="7" t="s">
        <v>30</v>
      </c>
      <c r="H845" s="7">
        <v>8</v>
      </c>
      <c r="I845" s="7">
        <v>6</v>
      </c>
      <c r="J845" s="8">
        <f t="shared" si="13"/>
        <v>0.5714285714285714</v>
      </c>
      <c r="L845" s="7" t="s">
        <v>30</v>
      </c>
      <c r="T845" s="14" t="s">
        <v>149</v>
      </c>
    </row>
    <row r="846" spans="1:20" x14ac:dyDescent="0.25">
      <c r="A846" s="15" t="s">
        <v>449</v>
      </c>
      <c r="B846" s="15" t="s">
        <v>359</v>
      </c>
      <c r="C846" s="15" t="s">
        <v>463</v>
      </c>
      <c r="D846" s="15" t="s">
        <v>171</v>
      </c>
      <c r="G846" s="7" t="s">
        <v>30</v>
      </c>
      <c r="H846" s="7">
        <v>6</v>
      </c>
      <c r="I846" s="7">
        <v>6</v>
      </c>
      <c r="J846" s="8">
        <f t="shared" si="13"/>
        <v>0.5</v>
      </c>
      <c r="L846" s="7" t="s">
        <v>30</v>
      </c>
      <c r="T846" s="15" t="s">
        <v>176</v>
      </c>
    </row>
    <row r="847" spans="1:20" x14ac:dyDescent="0.25">
      <c r="A847" s="15" t="s">
        <v>449</v>
      </c>
      <c r="B847" s="15" t="s">
        <v>359</v>
      </c>
      <c r="C847" s="15" t="s">
        <v>464</v>
      </c>
      <c r="D847" s="15" t="s">
        <v>154</v>
      </c>
      <c r="H847" s="7">
        <v>6</v>
      </c>
      <c r="I847" s="7">
        <v>6</v>
      </c>
      <c r="J847" s="8">
        <f t="shared" si="13"/>
        <v>0.5</v>
      </c>
      <c r="T847" s="14" t="s">
        <v>267</v>
      </c>
    </row>
    <row r="848" spans="1:20" x14ac:dyDescent="0.25">
      <c r="A848" s="15" t="s">
        <v>449</v>
      </c>
      <c r="B848" s="15" t="s">
        <v>359</v>
      </c>
      <c r="C848" s="14" t="s">
        <v>257</v>
      </c>
      <c r="D848" s="15" t="s">
        <v>215</v>
      </c>
      <c r="G848" s="7" t="s">
        <v>30</v>
      </c>
      <c r="H848" s="7">
        <v>5</v>
      </c>
      <c r="I848" s="7">
        <v>7</v>
      </c>
      <c r="J848" s="8">
        <f t="shared" si="13"/>
        <v>0.41666666666666669</v>
      </c>
      <c r="T848" s="14" t="s">
        <v>257</v>
      </c>
    </row>
    <row r="849" spans="1:20" x14ac:dyDescent="0.25">
      <c r="A849" s="15" t="s">
        <v>449</v>
      </c>
      <c r="B849" s="15" t="s">
        <v>359</v>
      </c>
      <c r="C849" s="14" t="s">
        <v>303</v>
      </c>
      <c r="D849" s="15" t="s">
        <v>215</v>
      </c>
      <c r="G849" s="7" t="s">
        <v>30</v>
      </c>
      <c r="H849" s="7">
        <v>5</v>
      </c>
      <c r="I849" s="7">
        <v>9</v>
      </c>
      <c r="J849" s="8">
        <f t="shared" si="13"/>
        <v>0.35714285714285715</v>
      </c>
      <c r="T849" s="14" t="s">
        <v>303</v>
      </c>
    </row>
    <row r="850" spans="1:20" x14ac:dyDescent="0.25">
      <c r="A850" s="15" t="s">
        <v>449</v>
      </c>
      <c r="B850" s="15" t="s">
        <v>359</v>
      </c>
      <c r="C850" s="15" t="s">
        <v>355</v>
      </c>
      <c r="D850" s="15" t="s">
        <v>154</v>
      </c>
      <c r="G850" s="7" t="s">
        <v>30</v>
      </c>
      <c r="H850" s="7">
        <v>4</v>
      </c>
      <c r="I850" s="7">
        <v>10</v>
      </c>
      <c r="J850" s="8">
        <f t="shared" si="13"/>
        <v>0.2857142857142857</v>
      </c>
      <c r="T850" s="15" t="s">
        <v>292</v>
      </c>
    </row>
    <row r="851" spans="1:20" x14ac:dyDescent="0.25">
      <c r="A851" s="15" t="s">
        <v>449</v>
      </c>
      <c r="B851" s="15" t="s">
        <v>359</v>
      </c>
      <c r="C851" s="14" t="s">
        <v>169</v>
      </c>
      <c r="D851" s="15" t="s">
        <v>161</v>
      </c>
      <c r="G851" s="7" t="s">
        <v>30</v>
      </c>
      <c r="H851" s="7">
        <v>3</v>
      </c>
      <c r="I851" s="7">
        <v>9</v>
      </c>
      <c r="J851" s="8">
        <f t="shared" si="13"/>
        <v>0.25</v>
      </c>
      <c r="T851" s="14" t="s">
        <v>169</v>
      </c>
    </row>
    <row r="852" spans="1:20" x14ac:dyDescent="0.25">
      <c r="A852" s="15" t="s">
        <v>449</v>
      </c>
      <c r="B852" s="15" t="s">
        <v>359</v>
      </c>
      <c r="C852" s="15" t="s">
        <v>446</v>
      </c>
      <c r="D852" s="15" t="s">
        <v>251</v>
      </c>
      <c r="F852" s="7" t="s">
        <v>30</v>
      </c>
      <c r="G852" s="7" t="s">
        <v>30</v>
      </c>
      <c r="H852" s="7">
        <v>1</v>
      </c>
      <c r="I852" s="7">
        <v>13</v>
      </c>
      <c r="J852" s="8">
        <f t="shared" si="13"/>
        <v>7.1428571428571425E-2</v>
      </c>
      <c r="T852" s="15" t="s">
        <v>411</v>
      </c>
    </row>
    <row r="853" spans="1:20" x14ac:dyDescent="0.25">
      <c r="A853" s="15" t="s">
        <v>465</v>
      </c>
      <c r="B853" s="15" t="s">
        <v>359</v>
      </c>
      <c r="C853" s="15" t="s">
        <v>466</v>
      </c>
      <c r="D853" s="15" t="s">
        <v>154</v>
      </c>
      <c r="H853" s="7">
        <v>11</v>
      </c>
      <c r="I853" s="7">
        <v>3</v>
      </c>
      <c r="J853" s="8">
        <f t="shared" si="13"/>
        <v>0.7857142857142857</v>
      </c>
      <c r="L853" s="7" t="s">
        <v>30</v>
      </c>
      <c r="M853" s="7" t="s">
        <v>30</v>
      </c>
      <c r="N853" s="7" t="s">
        <v>30</v>
      </c>
      <c r="T853" s="14" t="s">
        <v>267</v>
      </c>
    </row>
    <row r="854" spans="1:20" x14ac:dyDescent="0.25">
      <c r="A854" s="15" t="s">
        <v>465</v>
      </c>
      <c r="B854" s="15" t="s">
        <v>359</v>
      </c>
      <c r="C854" s="15" t="s">
        <v>467</v>
      </c>
      <c r="D854" s="15" t="s">
        <v>171</v>
      </c>
      <c r="G854" s="7" t="s">
        <v>30</v>
      </c>
      <c r="H854" s="7">
        <v>10</v>
      </c>
      <c r="I854" s="7">
        <v>4</v>
      </c>
      <c r="J854" s="8">
        <f t="shared" si="13"/>
        <v>0.7142857142857143</v>
      </c>
      <c r="L854" s="7" t="s">
        <v>30</v>
      </c>
      <c r="M854" s="7" t="s">
        <v>30</v>
      </c>
      <c r="T854" s="15" t="s">
        <v>170</v>
      </c>
    </row>
    <row r="855" spans="1:20" x14ac:dyDescent="0.25">
      <c r="A855" s="15" t="s">
        <v>465</v>
      </c>
      <c r="B855" s="15" t="s">
        <v>359</v>
      </c>
      <c r="C855" s="15" t="s">
        <v>355</v>
      </c>
      <c r="D855" s="15" t="s">
        <v>154</v>
      </c>
      <c r="G855" s="7" t="s">
        <v>30</v>
      </c>
      <c r="H855" s="7">
        <v>10</v>
      </c>
      <c r="I855" s="7">
        <v>4</v>
      </c>
      <c r="J855" s="8">
        <f t="shared" si="13"/>
        <v>0.7142857142857143</v>
      </c>
      <c r="L855" s="7" t="s">
        <v>30</v>
      </c>
      <c r="M855" s="7" t="s">
        <v>30</v>
      </c>
      <c r="T855" s="15" t="s">
        <v>292</v>
      </c>
    </row>
    <row r="856" spans="1:20" x14ac:dyDescent="0.25">
      <c r="A856" s="15" t="s">
        <v>465</v>
      </c>
      <c r="B856" s="15" t="s">
        <v>359</v>
      </c>
      <c r="C856" s="15" t="s">
        <v>468</v>
      </c>
      <c r="D856" s="15" t="s">
        <v>154</v>
      </c>
      <c r="G856" s="7" t="s">
        <v>30</v>
      </c>
      <c r="H856" s="7">
        <v>10</v>
      </c>
      <c r="I856" s="7">
        <v>4</v>
      </c>
      <c r="J856" s="8">
        <f t="shared" si="13"/>
        <v>0.7142857142857143</v>
      </c>
      <c r="L856" s="7" t="s">
        <v>30</v>
      </c>
      <c r="M856" s="7" t="s">
        <v>30</v>
      </c>
      <c r="T856" s="15" t="s">
        <v>292</v>
      </c>
    </row>
    <row r="857" spans="1:20" x14ac:dyDescent="0.25">
      <c r="A857" s="15" t="s">
        <v>465</v>
      </c>
      <c r="B857" s="15" t="s">
        <v>359</v>
      </c>
      <c r="C857" s="14" t="s">
        <v>174</v>
      </c>
      <c r="D857" s="15" t="s">
        <v>312</v>
      </c>
      <c r="G857" s="7" t="s">
        <v>30</v>
      </c>
      <c r="H857" s="7">
        <v>9</v>
      </c>
      <c r="I857" s="7">
        <v>5</v>
      </c>
      <c r="J857" s="8">
        <f t="shared" si="13"/>
        <v>0.6428571428571429</v>
      </c>
      <c r="L857" s="7" t="s">
        <v>30</v>
      </c>
      <c r="M857" s="7" t="s">
        <v>30</v>
      </c>
      <c r="N857" s="7" t="s">
        <v>30</v>
      </c>
      <c r="O857" s="16" t="s">
        <v>30</v>
      </c>
      <c r="T857" s="14" t="s">
        <v>174</v>
      </c>
    </row>
    <row r="858" spans="1:20" x14ac:dyDescent="0.25">
      <c r="A858" s="15" t="s">
        <v>465</v>
      </c>
      <c r="B858" s="15" t="s">
        <v>359</v>
      </c>
      <c r="C858" s="15" t="s">
        <v>450</v>
      </c>
      <c r="D858" s="15" t="s">
        <v>361</v>
      </c>
      <c r="F858" s="7" t="s">
        <v>30</v>
      </c>
      <c r="H858" s="7">
        <v>0</v>
      </c>
      <c r="I858" s="7">
        <v>0</v>
      </c>
      <c r="J858" s="8" t="e">
        <f t="shared" si="13"/>
        <v>#DIV/0!</v>
      </c>
      <c r="T858" s="15" t="s">
        <v>450</v>
      </c>
    </row>
    <row r="859" spans="1:20" x14ac:dyDescent="0.25">
      <c r="A859" s="15" t="s">
        <v>465</v>
      </c>
      <c r="B859" s="15" t="s">
        <v>359</v>
      </c>
      <c r="C859" s="15" t="s">
        <v>410</v>
      </c>
      <c r="D859" s="15" t="s">
        <v>364</v>
      </c>
      <c r="F859" s="7" t="s">
        <v>30</v>
      </c>
      <c r="H859" s="7">
        <v>0</v>
      </c>
      <c r="I859" s="7">
        <v>0</v>
      </c>
      <c r="J859" s="8" t="e">
        <f t="shared" si="13"/>
        <v>#DIV/0!</v>
      </c>
      <c r="T859" s="15" t="s">
        <v>409</v>
      </c>
    </row>
    <row r="860" spans="1:20" x14ac:dyDescent="0.25">
      <c r="A860" s="15" t="s">
        <v>465</v>
      </c>
      <c r="B860" s="15" t="s">
        <v>359</v>
      </c>
      <c r="C860" s="15" t="s">
        <v>453</v>
      </c>
      <c r="D860" s="15" t="s">
        <v>368</v>
      </c>
      <c r="G860" s="7" t="s">
        <v>30</v>
      </c>
      <c r="H860" s="7">
        <v>0</v>
      </c>
      <c r="I860" s="7">
        <v>0</v>
      </c>
      <c r="J860" s="8" t="e">
        <f t="shared" si="13"/>
        <v>#DIV/0!</v>
      </c>
      <c r="T860" s="15" t="s">
        <v>453</v>
      </c>
    </row>
    <row r="861" spans="1:20" x14ac:dyDescent="0.25">
      <c r="A861" s="15" t="s">
        <v>465</v>
      </c>
      <c r="B861" s="15" t="s">
        <v>359</v>
      </c>
      <c r="C861" s="15" t="s">
        <v>416</v>
      </c>
      <c r="D861" s="15" t="s">
        <v>371</v>
      </c>
      <c r="F861" s="7" t="s">
        <v>30</v>
      </c>
      <c r="G861" s="7" t="s">
        <v>30</v>
      </c>
      <c r="H861" s="7">
        <v>0</v>
      </c>
      <c r="I861" s="7">
        <v>0</v>
      </c>
      <c r="J861" s="8" t="e">
        <f t="shared" si="13"/>
        <v>#DIV/0!</v>
      </c>
      <c r="T861" s="15" t="s">
        <v>416</v>
      </c>
    </row>
    <row r="862" spans="1:20" x14ac:dyDescent="0.25">
      <c r="A862" s="15" t="s">
        <v>465</v>
      </c>
      <c r="B862" s="15" t="s">
        <v>359</v>
      </c>
      <c r="C862" s="15" t="s">
        <v>438</v>
      </c>
      <c r="D862" s="15" t="s">
        <v>454</v>
      </c>
      <c r="F862" s="7" t="s">
        <v>30</v>
      </c>
      <c r="H862" s="7">
        <v>0</v>
      </c>
      <c r="I862" s="7">
        <v>0</v>
      </c>
      <c r="J862" s="8" t="e">
        <f t="shared" si="13"/>
        <v>#DIV/0!</v>
      </c>
      <c r="T862" s="15" t="s">
        <v>438</v>
      </c>
    </row>
    <row r="863" spans="1:20" x14ac:dyDescent="0.25">
      <c r="A863" s="15" t="s">
        <v>465</v>
      </c>
      <c r="B863" s="15" t="s">
        <v>359</v>
      </c>
      <c r="C863" s="15" t="s">
        <v>469</v>
      </c>
      <c r="D863" s="15" t="s">
        <v>376</v>
      </c>
      <c r="G863" s="7" t="s">
        <v>30</v>
      </c>
      <c r="H863" s="7">
        <v>0</v>
      </c>
      <c r="I863" s="7">
        <v>0</v>
      </c>
      <c r="J863" s="8" t="e">
        <f t="shared" si="13"/>
        <v>#DIV/0!</v>
      </c>
      <c r="T863" s="15" t="s">
        <v>448</v>
      </c>
    </row>
    <row r="864" spans="1:20" x14ac:dyDescent="0.25">
      <c r="A864" s="15" t="s">
        <v>465</v>
      </c>
      <c r="B864" s="15" t="s">
        <v>359</v>
      </c>
      <c r="C864" s="15" t="s">
        <v>420</v>
      </c>
      <c r="D864" s="15" t="s">
        <v>380</v>
      </c>
      <c r="G864" s="7" t="s">
        <v>30</v>
      </c>
      <c r="H864" s="7">
        <v>0</v>
      </c>
      <c r="I864" s="7">
        <v>0</v>
      </c>
      <c r="J864" s="8" t="e">
        <f t="shared" si="13"/>
        <v>#DIV/0!</v>
      </c>
      <c r="T864" s="15" t="s">
        <v>420</v>
      </c>
    </row>
    <row r="865" spans="1:20" x14ac:dyDescent="0.25">
      <c r="A865" s="15" t="s">
        <v>465</v>
      </c>
      <c r="B865" s="15" t="s">
        <v>359</v>
      </c>
      <c r="C865" s="15" t="s">
        <v>470</v>
      </c>
      <c r="D865" s="15" t="s">
        <v>385</v>
      </c>
      <c r="G865" s="7" t="s">
        <v>30</v>
      </c>
      <c r="H865" s="7">
        <v>0</v>
      </c>
      <c r="I865" s="7">
        <v>0</v>
      </c>
      <c r="J865" s="8" t="e">
        <f t="shared" si="13"/>
        <v>#DIV/0!</v>
      </c>
      <c r="T865" s="15" t="s">
        <v>470</v>
      </c>
    </row>
    <row r="866" spans="1:20" x14ac:dyDescent="0.25">
      <c r="A866" s="15" t="s">
        <v>465</v>
      </c>
      <c r="B866" s="15" t="s">
        <v>359</v>
      </c>
      <c r="C866" s="15" t="s">
        <v>471</v>
      </c>
      <c r="D866" s="15" t="s">
        <v>441</v>
      </c>
      <c r="G866" s="7" t="s">
        <v>30</v>
      </c>
      <c r="H866" s="7">
        <v>0</v>
      </c>
      <c r="I866" s="7">
        <v>0</v>
      </c>
      <c r="J866" s="8" t="e">
        <f t="shared" si="13"/>
        <v>#DIV/0!</v>
      </c>
      <c r="T866" s="15" t="s">
        <v>471</v>
      </c>
    </row>
    <row r="867" spans="1:20" x14ac:dyDescent="0.25">
      <c r="A867" s="15" t="s">
        <v>465</v>
      </c>
      <c r="B867" s="15" t="s">
        <v>359</v>
      </c>
      <c r="C867" s="15" t="s">
        <v>472</v>
      </c>
      <c r="D867" s="15" t="s">
        <v>161</v>
      </c>
      <c r="F867" s="7" t="s">
        <v>30</v>
      </c>
      <c r="G867" s="7" t="s">
        <v>30</v>
      </c>
      <c r="H867" s="7">
        <v>0</v>
      </c>
      <c r="I867" s="7">
        <v>0</v>
      </c>
      <c r="J867" s="8" t="e">
        <f t="shared" si="13"/>
        <v>#DIV/0!</v>
      </c>
      <c r="T867" s="15" t="s">
        <v>472</v>
      </c>
    </row>
    <row r="868" spans="1:20" x14ac:dyDescent="0.25">
      <c r="A868" s="15" t="s">
        <v>465</v>
      </c>
      <c r="B868" s="15" t="s">
        <v>359</v>
      </c>
      <c r="C868" s="15" t="s">
        <v>473</v>
      </c>
      <c r="D868" s="15" t="s">
        <v>388</v>
      </c>
      <c r="F868" s="7" t="s">
        <v>30</v>
      </c>
      <c r="H868" s="7">
        <v>0</v>
      </c>
      <c r="I868" s="7">
        <v>0</v>
      </c>
      <c r="J868" s="8" t="e">
        <f t="shared" si="13"/>
        <v>#DIV/0!</v>
      </c>
      <c r="T868" s="15" t="s">
        <v>473</v>
      </c>
    </row>
    <row r="869" spans="1:20" x14ac:dyDescent="0.25">
      <c r="A869" s="15" t="s">
        <v>465</v>
      </c>
      <c r="B869" s="15" t="s">
        <v>359</v>
      </c>
      <c r="C869" s="14" t="s">
        <v>296</v>
      </c>
      <c r="D869" s="15" t="s">
        <v>220</v>
      </c>
      <c r="G869" s="7" t="s">
        <v>30</v>
      </c>
      <c r="H869" s="7">
        <v>0</v>
      </c>
      <c r="I869" s="7">
        <v>0</v>
      </c>
      <c r="J869" s="8" t="e">
        <f t="shared" si="13"/>
        <v>#DIV/0!</v>
      </c>
      <c r="T869" s="14" t="s">
        <v>296</v>
      </c>
    </row>
    <row r="870" spans="1:20" x14ac:dyDescent="0.25">
      <c r="A870" s="15" t="s">
        <v>465</v>
      </c>
      <c r="B870" s="15" t="s">
        <v>359</v>
      </c>
      <c r="C870" s="15" t="s">
        <v>406</v>
      </c>
      <c r="D870" s="15" t="s">
        <v>326</v>
      </c>
      <c r="G870" s="7" t="s">
        <v>30</v>
      </c>
      <c r="H870" s="7">
        <v>0</v>
      </c>
      <c r="I870" s="7">
        <v>0</v>
      </c>
      <c r="J870" s="8" t="e">
        <f t="shared" si="13"/>
        <v>#DIV/0!</v>
      </c>
      <c r="T870" s="15" t="s">
        <v>406</v>
      </c>
    </row>
    <row r="871" spans="1:20" x14ac:dyDescent="0.25">
      <c r="A871" s="15" t="s">
        <v>465</v>
      </c>
      <c r="B871" s="15" t="s">
        <v>359</v>
      </c>
      <c r="C871" s="15" t="s">
        <v>474</v>
      </c>
      <c r="D871" s="15" t="s">
        <v>397</v>
      </c>
      <c r="F871" s="7" t="s">
        <v>30</v>
      </c>
      <c r="H871" s="7">
        <v>0</v>
      </c>
      <c r="I871" s="7">
        <v>0</v>
      </c>
      <c r="J871" s="8" t="e">
        <f t="shared" si="13"/>
        <v>#DIV/0!</v>
      </c>
      <c r="T871" s="15" t="s">
        <v>474</v>
      </c>
    </row>
    <row r="872" spans="1:20" x14ac:dyDescent="0.25">
      <c r="A872" s="15" t="s">
        <v>465</v>
      </c>
      <c r="B872" s="15" t="s">
        <v>359</v>
      </c>
      <c r="C872" s="15" t="s">
        <v>460</v>
      </c>
      <c r="D872" s="15" t="s">
        <v>324</v>
      </c>
      <c r="G872" s="7" t="s">
        <v>30</v>
      </c>
      <c r="H872" s="7">
        <v>0</v>
      </c>
      <c r="I872" s="7">
        <v>0</v>
      </c>
      <c r="J872" s="8" t="e">
        <f t="shared" si="13"/>
        <v>#DIV/0!</v>
      </c>
      <c r="T872" s="15" t="s">
        <v>460</v>
      </c>
    </row>
    <row r="873" spans="1:20" x14ac:dyDescent="0.25">
      <c r="A873" s="15" t="s">
        <v>465</v>
      </c>
      <c r="B873" s="15" t="s">
        <v>359</v>
      </c>
      <c r="C873" s="15" t="s">
        <v>476</v>
      </c>
      <c r="D873" s="15" t="s">
        <v>319</v>
      </c>
      <c r="F873" s="7" t="s">
        <v>30</v>
      </c>
      <c r="G873" s="7" t="s">
        <v>30</v>
      </c>
      <c r="H873" s="7">
        <v>0</v>
      </c>
      <c r="I873" s="7">
        <v>0</v>
      </c>
      <c r="J873" s="8" t="e">
        <f t="shared" si="13"/>
        <v>#DIV/0!</v>
      </c>
      <c r="T873" s="15" t="s">
        <v>475</v>
      </c>
    </row>
    <row r="874" spans="1:20" x14ac:dyDescent="0.25">
      <c r="A874" s="15" t="s">
        <v>465</v>
      </c>
      <c r="B874" s="15" t="s">
        <v>359</v>
      </c>
      <c r="C874" s="14" t="s">
        <v>156</v>
      </c>
      <c r="D874" s="15" t="s">
        <v>157</v>
      </c>
      <c r="G874" s="7" t="s">
        <v>30</v>
      </c>
      <c r="H874" s="7">
        <v>0</v>
      </c>
      <c r="I874" s="7">
        <v>0</v>
      </c>
      <c r="J874" s="8" t="e">
        <f t="shared" si="13"/>
        <v>#DIV/0!</v>
      </c>
      <c r="T874" s="14" t="s">
        <v>156</v>
      </c>
    </row>
    <row r="875" spans="1:20" x14ac:dyDescent="0.25">
      <c r="A875" s="15" t="s">
        <v>465</v>
      </c>
      <c r="B875" s="15" t="s">
        <v>359</v>
      </c>
      <c r="C875" s="14" t="s">
        <v>169</v>
      </c>
      <c r="D875" s="15" t="s">
        <v>161</v>
      </c>
      <c r="H875" s="7">
        <v>10</v>
      </c>
      <c r="I875" s="7">
        <v>4</v>
      </c>
      <c r="J875" s="8">
        <f t="shared" si="13"/>
        <v>0.7142857142857143</v>
      </c>
      <c r="L875" s="7" t="s">
        <v>30</v>
      </c>
      <c r="T875" s="14" t="s">
        <v>169</v>
      </c>
    </row>
    <row r="876" spans="1:20" x14ac:dyDescent="0.25">
      <c r="A876" s="15" t="s">
        <v>465</v>
      </c>
      <c r="B876" s="15" t="s">
        <v>359</v>
      </c>
      <c r="C876" s="15" t="s">
        <v>463</v>
      </c>
      <c r="D876" s="15" t="s">
        <v>171</v>
      </c>
      <c r="G876" s="7" t="s">
        <v>30</v>
      </c>
      <c r="H876" s="7">
        <v>10</v>
      </c>
      <c r="I876" s="7">
        <v>4</v>
      </c>
      <c r="J876" s="8">
        <f t="shared" si="13"/>
        <v>0.7142857142857143</v>
      </c>
      <c r="L876" s="7" t="s">
        <v>30</v>
      </c>
      <c r="T876" s="15" t="s">
        <v>176</v>
      </c>
    </row>
    <row r="877" spans="1:20" x14ac:dyDescent="0.25">
      <c r="A877" s="15" t="s">
        <v>465</v>
      </c>
      <c r="B877" s="15" t="s">
        <v>359</v>
      </c>
      <c r="C877" s="15" t="s">
        <v>347</v>
      </c>
      <c r="D877" s="15" t="s">
        <v>154</v>
      </c>
      <c r="G877" s="7" t="s">
        <v>30</v>
      </c>
      <c r="H877" s="7">
        <v>10</v>
      </c>
      <c r="I877" s="7">
        <v>4</v>
      </c>
      <c r="J877" s="8">
        <f t="shared" si="13"/>
        <v>0.7142857142857143</v>
      </c>
      <c r="L877" s="7" t="s">
        <v>30</v>
      </c>
      <c r="T877" s="14" t="s">
        <v>581</v>
      </c>
    </row>
    <row r="878" spans="1:20" x14ac:dyDescent="0.25">
      <c r="A878" s="15" t="s">
        <v>465</v>
      </c>
      <c r="B878" s="15" t="s">
        <v>359</v>
      </c>
      <c r="C878" s="14" t="s">
        <v>257</v>
      </c>
      <c r="D878" s="15" t="s">
        <v>215</v>
      </c>
      <c r="G878" s="7" t="s">
        <v>30</v>
      </c>
      <c r="H878" s="7">
        <v>9</v>
      </c>
      <c r="I878" s="7">
        <v>5</v>
      </c>
      <c r="J878" s="8">
        <f t="shared" si="13"/>
        <v>0.6428571428571429</v>
      </c>
      <c r="L878" s="7" t="s">
        <v>30</v>
      </c>
      <c r="T878" s="14" t="s">
        <v>257</v>
      </c>
    </row>
    <row r="879" spans="1:20" x14ac:dyDescent="0.25">
      <c r="A879" s="15" t="s">
        <v>465</v>
      </c>
      <c r="B879" s="15" t="s">
        <v>359</v>
      </c>
      <c r="C879" s="15" t="s">
        <v>477</v>
      </c>
      <c r="D879" s="15" t="s">
        <v>215</v>
      </c>
      <c r="H879" s="7">
        <v>7</v>
      </c>
      <c r="I879" s="7">
        <v>7</v>
      </c>
      <c r="J879" s="8">
        <f t="shared" si="13"/>
        <v>0.5</v>
      </c>
      <c r="T879" s="15" t="s">
        <v>310</v>
      </c>
    </row>
    <row r="880" spans="1:20" x14ac:dyDescent="0.25">
      <c r="A880" s="15" t="s">
        <v>465</v>
      </c>
      <c r="B880" s="15" t="s">
        <v>359</v>
      </c>
      <c r="C880" s="15" t="s">
        <v>316</v>
      </c>
      <c r="D880" s="15" t="s">
        <v>173</v>
      </c>
      <c r="G880" s="7" t="s">
        <v>30</v>
      </c>
      <c r="H880" s="7">
        <v>7</v>
      </c>
      <c r="I880" s="7">
        <v>7</v>
      </c>
      <c r="J880" s="8">
        <f t="shared" si="13"/>
        <v>0.5</v>
      </c>
      <c r="T880" s="15" t="s">
        <v>316</v>
      </c>
    </row>
    <row r="881" spans="1:20" x14ac:dyDescent="0.25">
      <c r="A881" s="15" t="s">
        <v>465</v>
      </c>
      <c r="B881" s="15" t="s">
        <v>359</v>
      </c>
      <c r="C881" s="15" t="s">
        <v>446</v>
      </c>
      <c r="D881" s="15" t="s">
        <v>251</v>
      </c>
      <c r="F881" s="7" t="s">
        <v>30</v>
      </c>
      <c r="G881" s="7" t="s">
        <v>30</v>
      </c>
      <c r="H881" s="7">
        <v>4</v>
      </c>
      <c r="I881" s="7">
        <v>10</v>
      </c>
      <c r="J881" s="8">
        <f t="shared" si="13"/>
        <v>0.2857142857142857</v>
      </c>
      <c r="T881" s="15" t="s">
        <v>411</v>
      </c>
    </row>
    <row r="882" spans="1:20" x14ac:dyDescent="0.25">
      <c r="A882" s="15" t="s">
        <v>465</v>
      </c>
      <c r="B882" s="15" t="s">
        <v>359</v>
      </c>
      <c r="C882" s="15" t="s">
        <v>403</v>
      </c>
      <c r="D882" s="15" t="s">
        <v>164</v>
      </c>
      <c r="G882" s="7" t="s">
        <v>30</v>
      </c>
      <c r="H882" s="7">
        <v>4</v>
      </c>
      <c r="I882" s="7">
        <v>10</v>
      </c>
      <c r="J882" s="8">
        <f t="shared" si="13"/>
        <v>0.2857142857142857</v>
      </c>
      <c r="T882" s="15" t="s">
        <v>403</v>
      </c>
    </row>
    <row r="883" spans="1:20" x14ac:dyDescent="0.25">
      <c r="A883" s="15" t="s">
        <v>465</v>
      </c>
      <c r="B883" s="15" t="s">
        <v>359</v>
      </c>
      <c r="C883" s="15" t="s">
        <v>377</v>
      </c>
      <c r="D883" s="15" t="s">
        <v>378</v>
      </c>
      <c r="G883" s="7" t="s">
        <v>30</v>
      </c>
      <c r="H883" s="7">
        <v>3</v>
      </c>
      <c r="I883" s="7">
        <v>11</v>
      </c>
      <c r="J883" s="8">
        <f t="shared" si="13"/>
        <v>0.21428571428571427</v>
      </c>
      <c r="T883" s="15" t="s">
        <v>377</v>
      </c>
    </row>
    <row r="884" spans="1:20" x14ac:dyDescent="0.25">
      <c r="A884" s="15" t="s">
        <v>465</v>
      </c>
      <c r="B884" s="15" t="s">
        <v>359</v>
      </c>
      <c r="C884" s="15" t="s">
        <v>478</v>
      </c>
      <c r="D884" s="15" t="s">
        <v>152</v>
      </c>
      <c r="F884" s="7" t="s">
        <v>30</v>
      </c>
      <c r="G884" s="7" t="s">
        <v>30</v>
      </c>
      <c r="H884" s="7">
        <v>3</v>
      </c>
      <c r="I884" s="7">
        <v>11</v>
      </c>
      <c r="J884" s="8">
        <f t="shared" si="13"/>
        <v>0.21428571428571427</v>
      </c>
      <c r="T884" s="15" t="s">
        <v>478</v>
      </c>
    </row>
    <row r="885" spans="1:20" x14ac:dyDescent="0.25">
      <c r="A885" s="15" t="s">
        <v>465</v>
      </c>
      <c r="B885" s="15" t="s">
        <v>359</v>
      </c>
      <c r="C885" s="15" t="s">
        <v>480</v>
      </c>
      <c r="D885" s="15" t="s">
        <v>171</v>
      </c>
      <c r="H885" s="7">
        <v>3</v>
      </c>
      <c r="I885" s="7">
        <v>11</v>
      </c>
      <c r="J885" s="8">
        <f t="shared" si="13"/>
        <v>0.21428571428571427</v>
      </c>
      <c r="T885" s="15" t="s">
        <v>479</v>
      </c>
    </row>
    <row r="886" spans="1:20" x14ac:dyDescent="0.25">
      <c r="A886" s="15" t="s">
        <v>465</v>
      </c>
      <c r="B886" s="15" t="s">
        <v>359</v>
      </c>
      <c r="C886" s="15" t="s">
        <v>459</v>
      </c>
      <c r="D886" s="15" t="s">
        <v>393</v>
      </c>
      <c r="G886" s="7" t="s">
        <v>30</v>
      </c>
      <c r="H886" s="7">
        <v>2</v>
      </c>
      <c r="I886" s="7">
        <v>12</v>
      </c>
      <c r="J886" s="8">
        <f t="shared" si="13"/>
        <v>0.14285714285714285</v>
      </c>
      <c r="T886" s="15" t="s">
        <v>391</v>
      </c>
    </row>
    <row r="887" spans="1:20" x14ac:dyDescent="0.25">
      <c r="A887" s="15" t="s">
        <v>481</v>
      </c>
      <c r="B887" s="15" t="s">
        <v>482</v>
      </c>
      <c r="C887" s="15" t="s">
        <v>347</v>
      </c>
      <c r="D887" s="15" t="s">
        <v>154</v>
      </c>
      <c r="H887" s="7">
        <v>11</v>
      </c>
      <c r="I887" s="7">
        <v>3</v>
      </c>
      <c r="J887" s="8">
        <f t="shared" si="13"/>
        <v>0.7857142857142857</v>
      </c>
      <c r="K887" s="7" t="s">
        <v>30</v>
      </c>
      <c r="L887" s="7" t="s">
        <v>30</v>
      </c>
      <c r="M887" s="7" t="s">
        <v>30</v>
      </c>
      <c r="N887" s="7" t="s">
        <v>30</v>
      </c>
      <c r="T887" s="14" t="s">
        <v>581</v>
      </c>
    </row>
    <row r="888" spans="1:20" x14ac:dyDescent="0.25">
      <c r="A888" s="15" t="s">
        <v>481</v>
      </c>
      <c r="B888" s="15" t="s">
        <v>482</v>
      </c>
      <c r="C888" s="15" t="s">
        <v>483</v>
      </c>
      <c r="D888" s="15" t="s">
        <v>312</v>
      </c>
      <c r="H888" s="7">
        <v>9</v>
      </c>
      <c r="I888" s="7">
        <v>5</v>
      </c>
      <c r="J888" s="8">
        <f t="shared" si="13"/>
        <v>0.6428571428571429</v>
      </c>
      <c r="K888" s="7" t="s">
        <v>30</v>
      </c>
      <c r="L888" s="7" t="s">
        <v>30</v>
      </c>
      <c r="M888" s="7" t="s">
        <v>30</v>
      </c>
      <c r="N888" s="7" t="s">
        <v>30</v>
      </c>
      <c r="O888" s="16" t="s">
        <v>30</v>
      </c>
      <c r="T888" s="15" t="s">
        <v>310</v>
      </c>
    </row>
    <row r="889" spans="1:20" x14ac:dyDescent="0.25">
      <c r="A889" s="15" t="s">
        <v>481</v>
      </c>
      <c r="B889" s="15" t="s">
        <v>482</v>
      </c>
      <c r="C889" s="14" t="s">
        <v>169</v>
      </c>
      <c r="D889" s="15" t="s">
        <v>161</v>
      </c>
      <c r="F889" s="7" t="s">
        <v>30</v>
      </c>
      <c r="H889" s="7">
        <v>8</v>
      </c>
      <c r="I889" s="7">
        <v>6</v>
      </c>
      <c r="J889" s="8">
        <f t="shared" si="13"/>
        <v>0.5714285714285714</v>
      </c>
      <c r="K889" s="7" t="s">
        <v>30</v>
      </c>
      <c r="L889" s="7" t="s">
        <v>30</v>
      </c>
      <c r="M889" s="7" t="s">
        <v>30</v>
      </c>
      <c r="T889" s="14" t="s">
        <v>169</v>
      </c>
    </row>
    <row r="890" spans="1:20" x14ac:dyDescent="0.25">
      <c r="A890" s="15" t="s">
        <v>481</v>
      </c>
      <c r="B890" s="15" t="s">
        <v>482</v>
      </c>
      <c r="C890" s="15" t="s">
        <v>315</v>
      </c>
      <c r="D890" s="15" t="s">
        <v>171</v>
      </c>
      <c r="H890" s="7">
        <v>8</v>
      </c>
      <c r="I890" s="7">
        <v>6</v>
      </c>
      <c r="J890" s="8">
        <f t="shared" si="13"/>
        <v>0.5714285714285714</v>
      </c>
      <c r="K890" s="7" t="s">
        <v>30</v>
      </c>
      <c r="L890" s="7" t="s">
        <v>30</v>
      </c>
      <c r="M890" s="7" t="s">
        <v>30</v>
      </c>
      <c r="T890" s="15" t="s">
        <v>288</v>
      </c>
    </row>
    <row r="891" spans="1:20" x14ac:dyDescent="0.25">
      <c r="A891" s="15" t="s">
        <v>481</v>
      </c>
      <c r="B891" s="15" t="s">
        <v>482</v>
      </c>
      <c r="C891" s="15" t="s">
        <v>446</v>
      </c>
      <c r="D891" s="15" t="s">
        <v>251</v>
      </c>
      <c r="F891" s="7" t="s">
        <v>30</v>
      </c>
      <c r="H891" s="7">
        <v>0</v>
      </c>
      <c r="I891" s="7">
        <v>0</v>
      </c>
      <c r="J891" s="8" t="e">
        <f t="shared" si="13"/>
        <v>#DIV/0!</v>
      </c>
      <c r="K891" s="7" t="s">
        <v>30</v>
      </c>
      <c r="T891" s="15" t="s">
        <v>411</v>
      </c>
    </row>
    <row r="892" spans="1:20" x14ac:dyDescent="0.25">
      <c r="A892" s="15" t="s">
        <v>481</v>
      </c>
      <c r="B892" s="15" t="s">
        <v>482</v>
      </c>
      <c r="C892" s="15" t="s">
        <v>453</v>
      </c>
      <c r="D892" s="15" t="s">
        <v>368</v>
      </c>
      <c r="F892" s="7" t="s">
        <v>30</v>
      </c>
      <c r="H892" s="7">
        <v>0</v>
      </c>
      <c r="I892" s="7">
        <v>0</v>
      </c>
      <c r="J892" s="8" t="e">
        <f t="shared" si="13"/>
        <v>#DIV/0!</v>
      </c>
      <c r="K892" s="7" t="s">
        <v>30</v>
      </c>
      <c r="T892" s="15" t="s">
        <v>453</v>
      </c>
    </row>
    <row r="893" spans="1:20" x14ac:dyDescent="0.25">
      <c r="A893" s="15" t="s">
        <v>481</v>
      </c>
      <c r="B893" s="15" t="s">
        <v>482</v>
      </c>
      <c r="C893" s="15" t="s">
        <v>485</v>
      </c>
      <c r="D893" s="15" t="s">
        <v>380</v>
      </c>
      <c r="F893" s="7" t="s">
        <v>30</v>
      </c>
      <c r="H893" s="7">
        <v>0</v>
      </c>
      <c r="I893" s="7">
        <v>0</v>
      </c>
      <c r="J893" s="8" t="e">
        <f t="shared" si="13"/>
        <v>#DIV/0!</v>
      </c>
      <c r="K893" s="7" t="s">
        <v>30</v>
      </c>
      <c r="T893" s="15" t="s">
        <v>484</v>
      </c>
    </row>
    <row r="894" spans="1:20" x14ac:dyDescent="0.25">
      <c r="A894" s="15" t="s">
        <v>481</v>
      </c>
      <c r="B894" s="15" t="s">
        <v>482</v>
      </c>
      <c r="C894" s="15" t="s">
        <v>457</v>
      </c>
      <c r="D894" s="15" t="s">
        <v>385</v>
      </c>
      <c r="F894" s="7" t="s">
        <v>30</v>
      </c>
      <c r="H894" s="7">
        <v>0</v>
      </c>
      <c r="I894" s="7">
        <v>0</v>
      </c>
      <c r="J894" s="8" t="e">
        <f t="shared" si="13"/>
        <v>#DIV/0!</v>
      </c>
      <c r="K894" s="7" t="s">
        <v>30</v>
      </c>
      <c r="T894" s="15" t="s">
        <v>456</v>
      </c>
    </row>
    <row r="895" spans="1:20" x14ac:dyDescent="0.25">
      <c r="A895" s="15" t="s">
        <v>481</v>
      </c>
      <c r="B895" s="15" t="s">
        <v>482</v>
      </c>
      <c r="C895" s="15" t="s">
        <v>473</v>
      </c>
      <c r="D895" s="15" t="s">
        <v>388</v>
      </c>
      <c r="F895" s="7" t="s">
        <v>30</v>
      </c>
      <c r="H895" s="7">
        <v>0</v>
      </c>
      <c r="I895" s="7">
        <v>0</v>
      </c>
      <c r="J895" s="8" t="e">
        <f t="shared" si="13"/>
        <v>#DIV/0!</v>
      </c>
      <c r="K895" s="7" t="s">
        <v>30</v>
      </c>
      <c r="T895" s="15" t="s">
        <v>473</v>
      </c>
    </row>
    <row r="896" spans="1:20" x14ac:dyDescent="0.25">
      <c r="A896" s="15" t="s">
        <v>481</v>
      </c>
      <c r="B896" s="15" t="s">
        <v>482</v>
      </c>
      <c r="C896" s="15" t="s">
        <v>188</v>
      </c>
      <c r="D896" s="15" t="s">
        <v>486</v>
      </c>
      <c r="F896" s="7" t="s">
        <v>30</v>
      </c>
      <c r="H896" s="7">
        <v>0</v>
      </c>
      <c r="I896" s="7">
        <v>0</v>
      </c>
      <c r="J896" s="8" t="e">
        <f t="shared" si="13"/>
        <v>#DIV/0!</v>
      </c>
      <c r="K896" s="7" t="s">
        <v>30</v>
      </c>
      <c r="T896" s="15" t="s">
        <v>188</v>
      </c>
    </row>
    <row r="897" spans="1:20" x14ac:dyDescent="0.25">
      <c r="A897" s="15" t="s">
        <v>481</v>
      </c>
      <c r="B897" s="15" t="s">
        <v>482</v>
      </c>
      <c r="C897" s="15" t="s">
        <v>460</v>
      </c>
      <c r="D897" s="15" t="s">
        <v>324</v>
      </c>
      <c r="F897" s="7" t="s">
        <v>30</v>
      </c>
      <c r="H897" s="7">
        <v>0</v>
      </c>
      <c r="I897" s="7">
        <v>0</v>
      </c>
      <c r="J897" s="8" t="e">
        <f t="shared" si="13"/>
        <v>#DIV/0!</v>
      </c>
      <c r="K897" s="7" t="s">
        <v>30</v>
      </c>
      <c r="T897" s="15" t="s">
        <v>460</v>
      </c>
    </row>
    <row r="898" spans="1:20" x14ac:dyDescent="0.25">
      <c r="A898" s="15" t="s">
        <v>481</v>
      </c>
      <c r="B898" s="15" t="s">
        <v>482</v>
      </c>
      <c r="C898" s="14" t="s">
        <v>204</v>
      </c>
      <c r="D898" s="15" t="s">
        <v>157</v>
      </c>
      <c r="F898" s="7" t="s">
        <v>30</v>
      </c>
      <c r="H898" s="7">
        <v>0</v>
      </c>
      <c r="I898" s="7">
        <v>0</v>
      </c>
      <c r="J898" s="8" t="e">
        <f t="shared" ref="J898:J961" si="14">H898/SUM(H898:I898)</f>
        <v>#DIV/0!</v>
      </c>
      <c r="K898" s="7" t="s">
        <v>30</v>
      </c>
      <c r="T898" s="14" t="s">
        <v>204</v>
      </c>
    </row>
    <row r="899" spans="1:20" x14ac:dyDescent="0.25">
      <c r="A899" s="15" t="s">
        <v>481</v>
      </c>
      <c r="B899" s="15" t="s">
        <v>482</v>
      </c>
      <c r="C899" s="15" t="s">
        <v>478</v>
      </c>
      <c r="D899" s="15" t="s">
        <v>152</v>
      </c>
      <c r="H899" s="7">
        <v>7</v>
      </c>
      <c r="I899" s="7">
        <v>7</v>
      </c>
      <c r="J899" s="8">
        <f t="shared" si="14"/>
        <v>0.5</v>
      </c>
      <c r="K899" s="7" t="s">
        <v>30</v>
      </c>
      <c r="L899" s="7" t="s">
        <v>30</v>
      </c>
      <c r="T899" s="15" t="s">
        <v>478</v>
      </c>
    </row>
    <row r="900" spans="1:20" x14ac:dyDescent="0.25">
      <c r="A900" s="15" t="s">
        <v>481</v>
      </c>
      <c r="B900" s="15" t="s">
        <v>482</v>
      </c>
      <c r="C900" s="15" t="s">
        <v>316</v>
      </c>
      <c r="D900" s="15" t="s">
        <v>173</v>
      </c>
      <c r="F900" s="7" t="s">
        <v>30</v>
      </c>
      <c r="H900" s="7">
        <v>6</v>
      </c>
      <c r="I900" s="7">
        <v>8</v>
      </c>
      <c r="J900" s="8">
        <f t="shared" si="14"/>
        <v>0.42857142857142855</v>
      </c>
      <c r="K900" s="7" t="s">
        <v>30</v>
      </c>
      <c r="L900" s="7" t="s">
        <v>30</v>
      </c>
      <c r="T900" s="15" t="s">
        <v>316</v>
      </c>
    </row>
    <row r="901" spans="1:20" x14ac:dyDescent="0.25">
      <c r="A901" s="15" t="s">
        <v>481</v>
      </c>
      <c r="B901" s="15" t="s">
        <v>482</v>
      </c>
      <c r="C901" s="15" t="s">
        <v>469</v>
      </c>
      <c r="D901" s="15" t="s">
        <v>376</v>
      </c>
      <c r="F901" s="7" t="s">
        <v>30</v>
      </c>
      <c r="H901" s="7">
        <v>4</v>
      </c>
      <c r="I901" s="7">
        <v>10</v>
      </c>
      <c r="J901" s="8">
        <f t="shared" si="14"/>
        <v>0.2857142857142857</v>
      </c>
      <c r="K901" s="7" t="s">
        <v>30</v>
      </c>
      <c r="L901" s="7" t="s">
        <v>30</v>
      </c>
      <c r="T901" s="15" t="s">
        <v>448</v>
      </c>
    </row>
    <row r="902" spans="1:20" x14ac:dyDescent="0.25">
      <c r="A902" s="15" t="s">
        <v>481</v>
      </c>
      <c r="B902" s="15" t="s">
        <v>482</v>
      </c>
      <c r="C902" s="15" t="s">
        <v>216</v>
      </c>
      <c r="D902" s="15" t="s">
        <v>164</v>
      </c>
      <c r="H902" s="7">
        <v>3</v>
      </c>
      <c r="I902" s="7">
        <v>11</v>
      </c>
      <c r="J902" s="8">
        <f t="shared" si="14"/>
        <v>0.21428571428571427</v>
      </c>
      <c r="K902" s="7" t="s">
        <v>30</v>
      </c>
      <c r="L902" s="7" t="s">
        <v>30</v>
      </c>
      <c r="T902" s="15" t="s">
        <v>216</v>
      </c>
    </row>
    <row r="903" spans="1:20" x14ac:dyDescent="0.25">
      <c r="A903" s="15" t="s">
        <v>481</v>
      </c>
      <c r="B903" s="15" t="s">
        <v>482</v>
      </c>
      <c r="C903" s="15" t="s">
        <v>433</v>
      </c>
      <c r="D903" s="15" t="s">
        <v>361</v>
      </c>
      <c r="F903" s="7" t="s">
        <v>30</v>
      </c>
      <c r="H903" s="7">
        <v>0</v>
      </c>
      <c r="I903" s="7">
        <v>0</v>
      </c>
      <c r="J903" s="8" t="e">
        <f t="shared" si="14"/>
        <v>#DIV/0!</v>
      </c>
      <c r="T903" s="15" t="s">
        <v>433</v>
      </c>
    </row>
    <row r="904" spans="1:20" x14ac:dyDescent="0.25">
      <c r="A904" s="15" t="s">
        <v>481</v>
      </c>
      <c r="B904" s="15" t="s">
        <v>482</v>
      </c>
      <c r="C904" s="15" t="s">
        <v>488</v>
      </c>
      <c r="D904" s="15" t="s">
        <v>364</v>
      </c>
      <c r="F904" s="7" t="s">
        <v>30</v>
      </c>
      <c r="H904" s="7">
        <v>0</v>
      </c>
      <c r="I904" s="7">
        <v>0</v>
      </c>
      <c r="J904" s="8" t="e">
        <f t="shared" si="14"/>
        <v>#DIV/0!</v>
      </c>
      <c r="T904" s="15" t="s">
        <v>487</v>
      </c>
    </row>
    <row r="905" spans="1:20" x14ac:dyDescent="0.25">
      <c r="A905" s="15" t="s">
        <v>481</v>
      </c>
      <c r="B905" s="15" t="s">
        <v>482</v>
      </c>
      <c r="C905" s="15" t="s">
        <v>489</v>
      </c>
      <c r="D905" s="15" t="s">
        <v>371</v>
      </c>
      <c r="F905" s="7" t="s">
        <v>30</v>
      </c>
      <c r="H905" s="7">
        <v>0</v>
      </c>
      <c r="I905" s="7">
        <v>0</v>
      </c>
      <c r="J905" s="8" t="e">
        <f t="shared" si="14"/>
        <v>#DIV/0!</v>
      </c>
      <c r="T905" s="15" t="s">
        <v>489</v>
      </c>
    </row>
    <row r="906" spans="1:20" x14ac:dyDescent="0.25">
      <c r="A906" s="15" t="s">
        <v>481</v>
      </c>
      <c r="B906" s="15" t="s">
        <v>482</v>
      </c>
      <c r="C906" s="15" t="s">
        <v>490</v>
      </c>
      <c r="D906" s="15" t="s">
        <v>454</v>
      </c>
      <c r="F906" s="7" t="s">
        <v>30</v>
      </c>
      <c r="H906" s="7">
        <v>0</v>
      </c>
      <c r="I906" s="7">
        <v>0</v>
      </c>
      <c r="J906" s="8" t="e">
        <f t="shared" si="14"/>
        <v>#DIV/0!</v>
      </c>
      <c r="T906" s="15" t="s">
        <v>372</v>
      </c>
    </row>
    <row r="907" spans="1:20" x14ac:dyDescent="0.25">
      <c r="A907" s="15" t="s">
        <v>481</v>
      </c>
      <c r="B907" s="15" t="s">
        <v>482</v>
      </c>
      <c r="C907" s="15" t="s">
        <v>491</v>
      </c>
      <c r="D907" s="15" t="s">
        <v>492</v>
      </c>
      <c r="F907" s="7" t="s">
        <v>30</v>
      </c>
      <c r="H907" s="7">
        <v>0</v>
      </c>
      <c r="I907" s="7">
        <v>0</v>
      </c>
      <c r="J907" s="8" t="e">
        <f t="shared" si="14"/>
        <v>#DIV/0!</v>
      </c>
      <c r="T907" s="15" t="s">
        <v>491</v>
      </c>
    </row>
    <row r="908" spans="1:20" x14ac:dyDescent="0.25">
      <c r="A908" s="15" t="s">
        <v>481</v>
      </c>
      <c r="B908" s="15" t="s">
        <v>482</v>
      </c>
      <c r="C908" s="15" t="s">
        <v>493</v>
      </c>
      <c r="D908" s="15" t="s">
        <v>441</v>
      </c>
      <c r="F908" s="7" t="s">
        <v>30</v>
      </c>
      <c r="H908" s="7">
        <v>0</v>
      </c>
      <c r="I908" s="7">
        <v>0</v>
      </c>
      <c r="J908" s="8" t="e">
        <f t="shared" si="14"/>
        <v>#DIV/0!</v>
      </c>
      <c r="T908" s="15" t="s">
        <v>493</v>
      </c>
    </row>
    <row r="909" spans="1:20" x14ac:dyDescent="0.25">
      <c r="A909" s="15" t="s">
        <v>481</v>
      </c>
      <c r="B909" s="15" t="s">
        <v>482</v>
      </c>
      <c r="C909" s="15" t="s">
        <v>459</v>
      </c>
      <c r="D909" s="15" t="s">
        <v>393</v>
      </c>
      <c r="F909" s="7" t="s">
        <v>30</v>
      </c>
      <c r="H909" s="7">
        <v>0</v>
      </c>
      <c r="I909" s="7">
        <v>0</v>
      </c>
      <c r="J909" s="8" t="e">
        <f t="shared" si="14"/>
        <v>#DIV/0!</v>
      </c>
      <c r="T909" s="15" t="s">
        <v>391</v>
      </c>
    </row>
    <row r="910" spans="1:20" x14ac:dyDescent="0.25">
      <c r="A910" s="15" t="s">
        <v>481</v>
      </c>
      <c r="B910" s="15" t="s">
        <v>482</v>
      </c>
      <c r="C910" s="15" t="s">
        <v>494</v>
      </c>
      <c r="D910" s="15" t="s">
        <v>220</v>
      </c>
      <c r="F910" s="7" t="s">
        <v>30</v>
      </c>
      <c r="H910" s="7">
        <v>0</v>
      </c>
      <c r="I910" s="7">
        <v>0</v>
      </c>
      <c r="J910" s="8" t="e">
        <f t="shared" si="14"/>
        <v>#DIV/0!</v>
      </c>
      <c r="T910" s="15" t="s">
        <v>494</v>
      </c>
    </row>
    <row r="911" spans="1:20" x14ac:dyDescent="0.25">
      <c r="A911" s="15" t="s">
        <v>481</v>
      </c>
      <c r="B911" s="15" t="s">
        <v>482</v>
      </c>
      <c r="C911" s="15" t="s">
        <v>406</v>
      </c>
      <c r="D911" s="15" t="s">
        <v>326</v>
      </c>
      <c r="F911" s="7" t="s">
        <v>30</v>
      </c>
      <c r="H911" s="7">
        <v>0</v>
      </c>
      <c r="I911" s="7">
        <v>0</v>
      </c>
      <c r="J911" s="8" t="e">
        <f t="shared" si="14"/>
        <v>#DIV/0!</v>
      </c>
      <c r="T911" s="15" t="s">
        <v>406</v>
      </c>
    </row>
    <row r="912" spans="1:20" x14ac:dyDescent="0.25">
      <c r="A912" s="15" t="s">
        <v>481</v>
      </c>
      <c r="B912" s="15" t="s">
        <v>482</v>
      </c>
      <c r="C912" s="15" t="s">
        <v>474</v>
      </c>
      <c r="D912" s="15" t="s">
        <v>397</v>
      </c>
      <c r="F912" s="7" t="s">
        <v>30</v>
      </c>
      <c r="H912" s="7">
        <v>0</v>
      </c>
      <c r="I912" s="7">
        <v>0</v>
      </c>
      <c r="J912" s="8" t="e">
        <f t="shared" si="14"/>
        <v>#DIV/0!</v>
      </c>
      <c r="T912" s="15" t="s">
        <v>474</v>
      </c>
    </row>
    <row r="913" spans="1:20" x14ac:dyDescent="0.25">
      <c r="A913" s="15" t="s">
        <v>481</v>
      </c>
      <c r="B913" s="15" t="s">
        <v>482</v>
      </c>
      <c r="C913" s="15" t="s">
        <v>496</v>
      </c>
      <c r="D913" s="15" t="s">
        <v>319</v>
      </c>
      <c r="F913" s="7" t="s">
        <v>30</v>
      </c>
      <c r="H913" s="7">
        <v>0</v>
      </c>
      <c r="I913" s="7">
        <v>0</v>
      </c>
      <c r="J913" s="8" t="e">
        <f t="shared" si="14"/>
        <v>#DIV/0!</v>
      </c>
      <c r="T913" s="15" t="s">
        <v>495</v>
      </c>
    </row>
    <row r="914" spans="1:20" x14ac:dyDescent="0.25">
      <c r="A914" s="15" t="s">
        <v>497</v>
      </c>
      <c r="B914" s="15" t="s">
        <v>482</v>
      </c>
      <c r="C914" s="15" t="s">
        <v>347</v>
      </c>
      <c r="D914" s="15" t="s">
        <v>154</v>
      </c>
      <c r="H914" s="7">
        <v>12</v>
      </c>
      <c r="I914" s="7">
        <v>2</v>
      </c>
      <c r="J914" s="8">
        <f t="shared" si="14"/>
        <v>0.8571428571428571</v>
      </c>
      <c r="K914" s="7" t="s">
        <v>30</v>
      </c>
      <c r="L914" s="7" t="s">
        <v>30</v>
      </c>
      <c r="M914" s="7" t="s">
        <v>30</v>
      </c>
      <c r="N914" s="7" t="s">
        <v>30</v>
      </c>
      <c r="T914" s="14" t="s">
        <v>581</v>
      </c>
    </row>
    <row r="915" spans="1:20" x14ac:dyDescent="0.25">
      <c r="A915" s="15" t="s">
        <v>497</v>
      </c>
      <c r="B915" s="15" t="s">
        <v>482</v>
      </c>
      <c r="C915" s="15" t="s">
        <v>498</v>
      </c>
      <c r="D915" s="15" t="s">
        <v>312</v>
      </c>
      <c r="H915" s="7">
        <v>11</v>
      </c>
      <c r="I915" s="7">
        <v>3</v>
      </c>
      <c r="J915" s="8">
        <f t="shared" si="14"/>
        <v>0.7857142857142857</v>
      </c>
      <c r="K915" s="7" t="s">
        <v>30</v>
      </c>
      <c r="L915" s="7" t="s">
        <v>30</v>
      </c>
      <c r="M915" s="7" t="s">
        <v>30</v>
      </c>
      <c r="N915" s="7" t="s">
        <v>30</v>
      </c>
      <c r="O915" s="16" t="s">
        <v>30</v>
      </c>
      <c r="T915" s="15" t="s">
        <v>310</v>
      </c>
    </row>
    <row r="916" spans="1:20" x14ac:dyDescent="0.25">
      <c r="A916" s="15" t="s">
        <v>497</v>
      </c>
      <c r="B916" s="15" t="s">
        <v>482</v>
      </c>
      <c r="C916" s="15" t="s">
        <v>216</v>
      </c>
      <c r="D916" s="15" t="s">
        <v>164</v>
      </c>
      <c r="H916" s="7">
        <v>10</v>
      </c>
      <c r="I916" s="7">
        <v>4</v>
      </c>
      <c r="J916" s="8">
        <f t="shared" si="14"/>
        <v>0.7142857142857143</v>
      </c>
      <c r="K916" s="7" t="s">
        <v>30</v>
      </c>
      <c r="L916" s="7" t="s">
        <v>30</v>
      </c>
      <c r="M916" s="7" t="s">
        <v>30</v>
      </c>
      <c r="T916" s="15" t="s">
        <v>216</v>
      </c>
    </row>
    <row r="917" spans="1:20" x14ac:dyDescent="0.25">
      <c r="A917" s="15" t="s">
        <v>497</v>
      </c>
      <c r="B917" s="15" t="s">
        <v>482</v>
      </c>
      <c r="C917" s="15" t="s">
        <v>478</v>
      </c>
      <c r="D917" s="15" t="s">
        <v>152</v>
      </c>
      <c r="H917" s="7">
        <v>8</v>
      </c>
      <c r="I917" s="7">
        <v>6</v>
      </c>
      <c r="J917" s="8">
        <f t="shared" si="14"/>
        <v>0.5714285714285714</v>
      </c>
      <c r="K917" s="7" t="s">
        <v>30</v>
      </c>
      <c r="L917" s="7" t="s">
        <v>30</v>
      </c>
      <c r="M917" s="7" t="s">
        <v>30</v>
      </c>
      <c r="T917" s="15" t="s">
        <v>478</v>
      </c>
    </row>
    <row r="918" spans="1:20" x14ac:dyDescent="0.25">
      <c r="A918" s="15" t="s">
        <v>497</v>
      </c>
      <c r="B918" s="15" t="s">
        <v>482</v>
      </c>
      <c r="C918" s="15" t="s">
        <v>488</v>
      </c>
      <c r="D918" s="15" t="s">
        <v>364</v>
      </c>
      <c r="F918" s="7" t="s">
        <v>30</v>
      </c>
      <c r="H918" s="7">
        <v>0</v>
      </c>
      <c r="I918" s="7">
        <v>0</v>
      </c>
      <c r="J918" s="8" t="e">
        <f t="shared" si="14"/>
        <v>#DIV/0!</v>
      </c>
      <c r="K918" s="7" t="s">
        <v>30</v>
      </c>
      <c r="T918" s="15" t="s">
        <v>487</v>
      </c>
    </row>
    <row r="919" spans="1:20" x14ac:dyDescent="0.25">
      <c r="A919" s="15" t="s">
        <v>497</v>
      </c>
      <c r="B919" s="15" t="s">
        <v>482</v>
      </c>
      <c r="C919" s="15" t="s">
        <v>446</v>
      </c>
      <c r="D919" s="15" t="s">
        <v>251</v>
      </c>
      <c r="F919" s="7" t="s">
        <v>30</v>
      </c>
      <c r="H919" s="7">
        <v>0</v>
      </c>
      <c r="I919" s="7">
        <v>0</v>
      </c>
      <c r="J919" s="8" t="e">
        <f t="shared" si="14"/>
        <v>#DIV/0!</v>
      </c>
      <c r="K919" s="7" t="s">
        <v>30</v>
      </c>
      <c r="T919" s="15" t="s">
        <v>411</v>
      </c>
    </row>
    <row r="920" spans="1:20" x14ac:dyDescent="0.25">
      <c r="A920" s="15" t="s">
        <v>497</v>
      </c>
      <c r="B920" s="15" t="s">
        <v>482</v>
      </c>
      <c r="C920" s="15" t="s">
        <v>499</v>
      </c>
      <c r="D920" s="15" t="s">
        <v>368</v>
      </c>
      <c r="F920" s="7" t="s">
        <v>30</v>
      </c>
      <c r="H920" s="7">
        <v>0</v>
      </c>
      <c r="I920" s="7">
        <v>0</v>
      </c>
      <c r="J920" s="8" t="e">
        <f t="shared" si="14"/>
        <v>#DIV/0!</v>
      </c>
      <c r="K920" s="7" t="s">
        <v>30</v>
      </c>
      <c r="T920" s="15" t="s">
        <v>499</v>
      </c>
    </row>
    <row r="921" spans="1:20" x14ac:dyDescent="0.25">
      <c r="A921" s="15" t="s">
        <v>497</v>
      </c>
      <c r="B921" s="15" t="s">
        <v>482</v>
      </c>
      <c r="C921" s="15" t="s">
        <v>500</v>
      </c>
      <c r="D921" s="15" t="s">
        <v>454</v>
      </c>
      <c r="F921" s="7" t="s">
        <v>30</v>
      </c>
      <c r="H921" s="7">
        <v>0</v>
      </c>
      <c r="I921" s="7">
        <v>0</v>
      </c>
      <c r="J921" s="8" t="e">
        <f t="shared" si="14"/>
        <v>#DIV/0!</v>
      </c>
      <c r="K921" s="7" t="s">
        <v>30</v>
      </c>
      <c r="T921" s="15" t="s">
        <v>398</v>
      </c>
    </row>
    <row r="922" spans="1:20" x14ac:dyDescent="0.25">
      <c r="A922" s="15" t="s">
        <v>497</v>
      </c>
      <c r="B922" s="15" t="s">
        <v>482</v>
      </c>
      <c r="C922" s="15" t="s">
        <v>399</v>
      </c>
      <c r="D922" s="15" t="s">
        <v>454</v>
      </c>
      <c r="F922" s="7" t="s">
        <v>30</v>
      </c>
      <c r="H922" s="7">
        <v>0</v>
      </c>
      <c r="I922" s="7">
        <v>0</v>
      </c>
      <c r="J922" s="8" t="e">
        <f t="shared" si="14"/>
        <v>#DIV/0!</v>
      </c>
      <c r="K922" s="7" t="s">
        <v>30</v>
      </c>
      <c r="T922" s="15" t="s">
        <v>398</v>
      </c>
    </row>
    <row r="923" spans="1:20" x14ac:dyDescent="0.25">
      <c r="A923" s="15" t="s">
        <v>497</v>
      </c>
      <c r="B923" s="15" t="s">
        <v>482</v>
      </c>
      <c r="C923" s="15" t="s">
        <v>501</v>
      </c>
      <c r="D923" s="15" t="s">
        <v>376</v>
      </c>
      <c r="F923" s="7" t="s">
        <v>30</v>
      </c>
      <c r="H923" s="7">
        <v>0</v>
      </c>
      <c r="I923" s="7">
        <v>0</v>
      </c>
      <c r="J923" s="8" t="e">
        <f t="shared" si="14"/>
        <v>#DIV/0!</v>
      </c>
      <c r="K923" s="7" t="s">
        <v>30</v>
      </c>
      <c r="T923" s="15" t="s">
        <v>418</v>
      </c>
    </row>
    <row r="924" spans="1:20" x14ac:dyDescent="0.25">
      <c r="A924" s="15" t="s">
        <v>497</v>
      </c>
      <c r="B924" s="15" t="s">
        <v>482</v>
      </c>
      <c r="C924" s="15" t="s">
        <v>502</v>
      </c>
      <c r="D924" s="15" t="s">
        <v>503</v>
      </c>
      <c r="F924" s="7" t="s">
        <v>30</v>
      </c>
      <c r="H924" s="7">
        <v>0</v>
      </c>
      <c r="I924" s="7">
        <v>0</v>
      </c>
      <c r="J924" s="8" t="e">
        <f t="shared" si="14"/>
        <v>#DIV/0!</v>
      </c>
      <c r="K924" s="7" t="s">
        <v>30</v>
      </c>
      <c r="T924" s="15" t="s">
        <v>502</v>
      </c>
    </row>
    <row r="925" spans="1:20" x14ac:dyDescent="0.25">
      <c r="A925" s="15" t="s">
        <v>497</v>
      </c>
      <c r="B925" s="15" t="s">
        <v>482</v>
      </c>
      <c r="C925" s="15" t="s">
        <v>504</v>
      </c>
      <c r="D925" s="15" t="s">
        <v>486</v>
      </c>
      <c r="F925" s="7" t="s">
        <v>30</v>
      </c>
      <c r="H925" s="7">
        <v>0</v>
      </c>
      <c r="I925" s="7">
        <v>0</v>
      </c>
      <c r="J925" s="8" t="e">
        <f t="shared" si="14"/>
        <v>#DIV/0!</v>
      </c>
      <c r="K925" s="7" t="s">
        <v>30</v>
      </c>
      <c r="T925" s="15" t="s">
        <v>231</v>
      </c>
    </row>
    <row r="926" spans="1:20" x14ac:dyDescent="0.25">
      <c r="A926" s="15" t="s">
        <v>497</v>
      </c>
      <c r="B926" s="15" t="s">
        <v>482</v>
      </c>
      <c r="C926" s="15" t="s">
        <v>505</v>
      </c>
      <c r="D926" s="15" t="s">
        <v>319</v>
      </c>
      <c r="F926" s="7" t="s">
        <v>30</v>
      </c>
      <c r="H926" s="7">
        <v>0</v>
      </c>
      <c r="I926" s="7">
        <v>0</v>
      </c>
      <c r="J926" s="8" t="e">
        <f t="shared" si="14"/>
        <v>#DIV/0!</v>
      </c>
      <c r="K926" s="7" t="s">
        <v>30</v>
      </c>
      <c r="T926" s="15" t="s">
        <v>495</v>
      </c>
    </row>
    <row r="927" spans="1:20" x14ac:dyDescent="0.25">
      <c r="A927" s="15" t="s">
        <v>497</v>
      </c>
      <c r="B927" s="15" t="s">
        <v>482</v>
      </c>
      <c r="C927" s="15" t="s">
        <v>467</v>
      </c>
      <c r="D927" s="15" t="s">
        <v>171</v>
      </c>
      <c r="F927" s="7" t="s">
        <v>30</v>
      </c>
      <c r="H927" s="7">
        <v>7</v>
      </c>
      <c r="I927" s="7">
        <v>7</v>
      </c>
      <c r="J927" s="8">
        <f t="shared" si="14"/>
        <v>0.5</v>
      </c>
      <c r="K927" s="7" t="s">
        <v>30</v>
      </c>
      <c r="L927" s="7" t="s">
        <v>30</v>
      </c>
      <c r="T927" s="15" t="s">
        <v>170</v>
      </c>
    </row>
    <row r="928" spans="1:20" x14ac:dyDescent="0.25">
      <c r="A928" s="15" t="s">
        <v>497</v>
      </c>
      <c r="B928" s="15" t="s">
        <v>482</v>
      </c>
      <c r="C928" s="14" t="s">
        <v>169</v>
      </c>
      <c r="D928" s="15" t="s">
        <v>161</v>
      </c>
      <c r="H928" s="7">
        <v>6</v>
      </c>
      <c r="I928" s="7">
        <v>8</v>
      </c>
      <c r="J928" s="8">
        <f t="shared" si="14"/>
        <v>0.42857142857142855</v>
      </c>
      <c r="K928" s="7" t="s">
        <v>30</v>
      </c>
      <c r="L928" s="7" t="s">
        <v>30</v>
      </c>
      <c r="T928" s="14" t="s">
        <v>169</v>
      </c>
    </row>
    <row r="929" spans="1:20" x14ac:dyDescent="0.25">
      <c r="A929" s="15" t="s">
        <v>497</v>
      </c>
      <c r="B929" s="15" t="s">
        <v>482</v>
      </c>
      <c r="C929" s="15" t="s">
        <v>459</v>
      </c>
      <c r="D929" s="15" t="s">
        <v>393</v>
      </c>
      <c r="F929" s="7" t="s">
        <v>30</v>
      </c>
      <c r="H929" s="7">
        <v>2</v>
      </c>
      <c r="I929" s="7">
        <v>12</v>
      </c>
      <c r="J929" s="8">
        <f t="shared" si="14"/>
        <v>0.14285714285714285</v>
      </c>
      <c r="K929" s="7" t="s">
        <v>30</v>
      </c>
      <c r="L929" s="7" t="s">
        <v>30</v>
      </c>
      <c r="T929" s="15" t="s">
        <v>391</v>
      </c>
    </row>
    <row r="930" spans="1:20" x14ac:dyDescent="0.25">
      <c r="A930" s="15" t="s">
        <v>497</v>
      </c>
      <c r="B930" s="15" t="s">
        <v>482</v>
      </c>
      <c r="C930" s="15" t="s">
        <v>494</v>
      </c>
      <c r="D930" s="15" t="s">
        <v>220</v>
      </c>
      <c r="F930" s="7" t="s">
        <v>30</v>
      </c>
      <c r="H930" s="7">
        <v>0</v>
      </c>
      <c r="I930" s="7">
        <v>14</v>
      </c>
      <c r="J930" s="8">
        <f t="shared" si="14"/>
        <v>0</v>
      </c>
      <c r="K930" s="7" t="s">
        <v>30</v>
      </c>
      <c r="L930" s="7" t="s">
        <v>30</v>
      </c>
      <c r="T930" s="15" t="s">
        <v>494</v>
      </c>
    </row>
    <row r="931" spans="1:20" x14ac:dyDescent="0.25">
      <c r="A931" s="15" t="s">
        <v>497</v>
      </c>
      <c r="B931" s="15" t="s">
        <v>482</v>
      </c>
      <c r="C931" s="15" t="s">
        <v>450</v>
      </c>
      <c r="D931" s="15" t="s">
        <v>361</v>
      </c>
      <c r="F931" s="7" t="s">
        <v>30</v>
      </c>
      <c r="H931" s="7">
        <v>0</v>
      </c>
      <c r="I931" s="7">
        <v>0</v>
      </c>
      <c r="J931" s="8" t="e">
        <f t="shared" si="14"/>
        <v>#DIV/0!</v>
      </c>
      <c r="T931" s="15" t="s">
        <v>450</v>
      </c>
    </row>
    <row r="932" spans="1:20" x14ac:dyDescent="0.25">
      <c r="A932" s="15" t="s">
        <v>497</v>
      </c>
      <c r="B932" s="15" t="s">
        <v>482</v>
      </c>
      <c r="C932" s="15" t="s">
        <v>506</v>
      </c>
      <c r="D932" s="15" t="s">
        <v>371</v>
      </c>
      <c r="F932" s="7" t="s">
        <v>30</v>
      </c>
      <c r="H932" s="7">
        <v>0</v>
      </c>
      <c r="I932" s="7">
        <v>0</v>
      </c>
      <c r="J932" s="8" t="e">
        <f t="shared" si="14"/>
        <v>#DIV/0!</v>
      </c>
      <c r="T932" s="15" t="s">
        <v>506</v>
      </c>
    </row>
    <row r="933" spans="1:20" x14ac:dyDescent="0.25">
      <c r="A933" s="15" t="s">
        <v>497</v>
      </c>
      <c r="B933" s="15" t="s">
        <v>482</v>
      </c>
      <c r="C933" s="15" t="s">
        <v>507</v>
      </c>
      <c r="D933" s="15" t="s">
        <v>508</v>
      </c>
      <c r="F933" s="7" t="s">
        <v>30</v>
      </c>
      <c r="H933" s="7">
        <v>0</v>
      </c>
      <c r="I933" s="7">
        <v>0</v>
      </c>
      <c r="J933" s="8" t="e">
        <f t="shared" si="14"/>
        <v>#DIV/0!</v>
      </c>
      <c r="T933" s="15" t="s">
        <v>507</v>
      </c>
    </row>
    <row r="934" spans="1:20" x14ac:dyDescent="0.25">
      <c r="A934" s="15" t="s">
        <v>497</v>
      </c>
      <c r="B934" s="15" t="s">
        <v>482</v>
      </c>
      <c r="C934" s="15" t="s">
        <v>455</v>
      </c>
      <c r="D934" s="15" t="s">
        <v>380</v>
      </c>
      <c r="F934" s="7" t="s">
        <v>30</v>
      </c>
      <c r="H934" s="7">
        <v>0</v>
      </c>
      <c r="I934" s="7">
        <v>0</v>
      </c>
      <c r="J934" s="8" t="e">
        <f t="shared" si="14"/>
        <v>#DIV/0!</v>
      </c>
      <c r="T934" s="15" t="s">
        <v>455</v>
      </c>
    </row>
    <row r="935" spans="1:20" x14ac:dyDescent="0.25">
      <c r="A935" s="15" t="s">
        <v>497</v>
      </c>
      <c r="B935" s="15" t="s">
        <v>482</v>
      </c>
      <c r="C935" s="15" t="s">
        <v>510</v>
      </c>
      <c r="D935" s="15" t="s">
        <v>173</v>
      </c>
      <c r="F935" s="7" t="s">
        <v>30</v>
      </c>
      <c r="H935" s="7">
        <v>0</v>
      </c>
      <c r="I935" s="7">
        <v>0</v>
      </c>
      <c r="J935" s="8" t="e">
        <f t="shared" si="14"/>
        <v>#DIV/0!</v>
      </c>
      <c r="T935" s="15" t="s">
        <v>509</v>
      </c>
    </row>
    <row r="936" spans="1:20" x14ac:dyDescent="0.25">
      <c r="A936" s="15" t="s">
        <v>497</v>
      </c>
      <c r="B936" s="15" t="s">
        <v>482</v>
      </c>
      <c r="C936" s="15" t="s">
        <v>511</v>
      </c>
      <c r="D936" s="15" t="s">
        <v>385</v>
      </c>
      <c r="F936" s="7" t="s">
        <v>30</v>
      </c>
      <c r="H936" s="7">
        <v>0</v>
      </c>
      <c r="I936" s="7">
        <v>0</v>
      </c>
      <c r="J936" s="8" t="e">
        <f t="shared" si="14"/>
        <v>#DIV/0!</v>
      </c>
      <c r="T936" s="15" t="s">
        <v>511</v>
      </c>
    </row>
    <row r="937" spans="1:20" x14ac:dyDescent="0.25">
      <c r="A937" s="15" t="s">
        <v>497</v>
      </c>
      <c r="B937" s="15" t="s">
        <v>482</v>
      </c>
      <c r="C937" s="15" t="s">
        <v>440</v>
      </c>
      <c r="D937" s="15" t="s">
        <v>441</v>
      </c>
      <c r="F937" s="7" t="s">
        <v>30</v>
      </c>
      <c r="H937" s="7">
        <v>0</v>
      </c>
      <c r="I937" s="7">
        <v>0</v>
      </c>
      <c r="J937" s="8" t="e">
        <f t="shared" si="14"/>
        <v>#DIV/0!</v>
      </c>
      <c r="T937" s="15" t="s">
        <v>440</v>
      </c>
    </row>
    <row r="938" spans="1:20" x14ac:dyDescent="0.25">
      <c r="A938" s="15" t="s">
        <v>497</v>
      </c>
      <c r="B938" s="15" t="s">
        <v>482</v>
      </c>
      <c r="C938" s="15" t="s">
        <v>473</v>
      </c>
      <c r="D938" s="15" t="s">
        <v>388</v>
      </c>
      <c r="F938" s="7" t="s">
        <v>30</v>
      </c>
      <c r="H938" s="7">
        <v>0</v>
      </c>
      <c r="I938" s="7">
        <v>0</v>
      </c>
      <c r="J938" s="8" t="e">
        <f t="shared" si="14"/>
        <v>#DIV/0!</v>
      </c>
      <c r="T938" s="15" t="s">
        <v>473</v>
      </c>
    </row>
    <row r="939" spans="1:20" x14ac:dyDescent="0.25">
      <c r="A939" s="15" t="s">
        <v>497</v>
      </c>
      <c r="B939" s="15" t="s">
        <v>482</v>
      </c>
      <c r="C939" s="15" t="s">
        <v>406</v>
      </c>
      <c r="D939" s="15" t="s">
        <v>326</v>
      </c>
      <c r="F939" s="7" t="s">
        <v>30</v>
      </c>
      <c r="H939" s="7">
        <v>0</v>
      </c>
      <c r="I939" s="7">
        <v>0</v>
      </c>
      <c r="J939" s="8" t="e">
        <f t="shared" si="14"/>
        <v>#DIV/0!</v>
      </c>
      <c r="T939" s="15" t="s">
        <v>406</v>
      </c>
    </row>
    <row r="940" spans="1:20" x14ac:dyDescent="0.25">
      <c r="A940" s="15" t="s">
        <v>497</v>
      </c>
      <c r="B940" s="15" t="s">
        <v>482</v>
      </c>
      <c r="C940" s="15" t="s">
        <v>512</v>
      </c>
      <c r="D940" s="15" t="s">
        <v>324</v>
      </c>
      <c r="F940" s="7" t="s">
        <v>30</v>
      </c>
      <c r="H940" s="7">
        <v>0</v>
      </c>
      <c r="I940" s="7">
        <v>0</v>
      </c>
      <c r="J940" s="8" t="e">
        <f t="shared" si="14"/>
        <v>#DIV/0!</v>
      </c>
      <c r="T940" s="15" t="s">
        <v>512</v>
      </c>
    </row>
    <row r="941" spans="1:20" x14ac:dyDescent="0.25">
      <c r="A941" s="15" t="s">
        <v>497</v>
      </c>
      <c r="B941" s="15" t="s">
        <v>482</v>
      </c>
      <c r="C941" s="15" t="s">
        <v>513</v>
      </c>
      <c r="D941" s="15" t="s">
        <v>157</v>
      </c>
      <c r="F941" s="7" t="s">
        <v>30</v>
      </c>
      <c r="H941" s="7">
        <v>0</v>
      </c>
      <c r="I941" s="7">
        <v>0</v>
      </c>
      <c r="J941" s="8" t="e">
        <f t="shared" si="14"/>
        <v>#DIV/0!</v>
      </c>
      <c r="T941" s="15" t="s">
        <v>513</v>
      </c>
    </row>
    <row r="942" spans="1:20" x14ac:dyDescent="0.25">
      <c r="A942" s="15" t="s">
        <v>514</v>
      </c>
      <c r="B942" s="15" t="s">
        <v>482</v>
      </c>
      <c r="C942" s="14" t="s">
        <v>169</v>
      </c>
      <c r="D942" s="15" t="s">
        <v>161</v>
      </c>
      <c r="H942" s="7">
        <v>12</v>
      </c>
      <c r="I942" s="7">
        <v>2</v>
      </c>
      <c r="J942" s="8">
        <f t="shared" si="14"/>
        <v>0.8571428571428571</v>
      </c>
      <c r="K942" s="7" t="s">
        <v>30</v>
      </c>
      <c r="L942" s="7" t="s">
        <v>30</v>
      </c>
      <c r="M942" s="7" t="s">
        <v>30</v>
      </c>
      <c r="N942" s="7" t="s">
        <v>30</v>
      </c>
      <c r="T942" s="14" t="s">
        <v>169</v>
      </c>
    </row>
    <row r="943" spans="1:20" x14ac:dyDescent="0.25">
      <c r="A943" s="15" t="s">
        <v>514</v>
      </c>
      <c r="B943" s="15" t="s">
        <v>482</v>
      </c>
      <c r="C943" s="14" t="s">
        <v>581</v>
      </c>
      <c r="D943" s="15" t="s">
        <v>154</v>
      </c>
      <c r="H943" s="7">
        <v>11</v>
      </c>
      <c r="I943" s="7">
        <v>3</v>
      </c>
      <c r="J943" s="8">
        <f t="shared" si="14"/>
        <v>0.7857142857142857</v>
      </c>
      <c r="K943" s="7" t="s">
        <v>30</v>
      </c>
      <c r="L943" s="7" t="s">
        <v>30</v>
      </c>
      <c r="M943" s="7" t="s">
        <v>30</v>
      </c>
      <c r="T943" s="14" t="s">
        <v>581</v>
      </c>
    </row>
    <row r="944" spans="1:20" x14ac:dyDescent="0.25">
      <c r="A944" s="15" t="s">
        <v>514</v>
      </c>
      <c r="B944" s="15" t="s">
        <v>482</v>
      </c>
      <c r="C944" s="15" t="s">
        <v>478</v>
      </c>
      <c r="D944" s="15" t="s">
        <v>152</v>
      </c>
      <c r="F944" s="7" t="s">
        <v>30</v>
      </c>
      <c r="H944" s="7">
        <v>8</v>
      </c>
      <c r="I944" s="7">
        <v>6</v>
      </c>
      <c r="J944" s="8">
        <f t="shared" si="14"/>
        <v>0.5714285714285714</v>
      </c>
      <c r="K944" s="7" t="s">
        <v>30</v>
      </c>
      <c r="L944" s="7" t="s">
        <v>30</v>
      </c>
      <c r="M944" s="7" t="s">
        <v>30</v>
      </c>
      <c r="T944" s="15" t="s">
        <v>478</v>
      </c>
    </row>
    <row r="945" spans="1:20" x14ac:dyDescent="0.25">
      <c r="A945" s="15" t="s">
        <v>514</v>
      </c>
      <c r="B945" s="15" t="s">
        <v>482</v>
      </c>
      <c r="C945" s="15" t="s">
        <v>498</v>
      </c>
      <c r="D945" s="15" t="s">
        <v>312</v>
      </c>
      <c r="H945" s="7">
        <v>8</v>
      </c>
      <c r="I945" s="7">
        <v>6</v>
      </c>
      <c r="J945" s="8">
        <f t="shared" si="14"/>
        <v>0.5714285714285714</v>
      </c>
      <c r="K945" s="7" t="s">
        <v>30</v>
      </c>
      <c r="L945" s="7" t="s">
        <v>30</v>
      </c>
      <c r="M945" s="7" t="s">
        <v>30</v>
      </c>
      <c r="N945" s="7" t="s">
        <v>30</v>
      </c>
      <c r="O945" s="16" t="s">
        <v>30</v>
      </c>
      <c r="T945" s="15" t="s">
        <v>310</v>
      </c>
    </row>
    <row r="946" spans="1:20" x14ac:dyDescent="0.25">
      <c r="A946" s="15" t="s">
        <v>514</v>
      </c>
      <c r="B946" s="15" t="s">
        <v>482</v>
      </c>
      <c r="C946" s="15" t="s">
        <v>450</v>
      </c>
      <c r="D946" s="15" t="s">
        <v>361</v>
      </c>
      <c r="F946" s="7" t="s">
        <v>30</v>
      </c>
      <c r="H946" s="7">
        <v>0</v>
      </c>
      <c r="I946" s="7">
        <v>0</v>
      </c>
      <c r="J946" s="8" t="e">
        <f t="shared" si="14"/>
        <v>#DIV/0!</v>
      </c>
      <c r="K946" s="7" t="s">
        <v>30</v>
      </c>
      <c r="T946" s="15" t="s">
        <v>450</v>
      </c>
    </row>
    <row r="947" spans="1:20" x14ac:dyDescent="0.25">
      <c r="A947" s="15" t="s">
        <v>514</v>
      </c>
      <c r="B947" s="15" t="s">
        <v>482</v>
      </c>
      <c r="C947" s="14" t="s">
        <v>301</v>
      </c>
      <c r="D947" s="15" t="s">
        <v>251</v>
      </c>
      <c r="F947" s="7" t="s">
        <v>30</v>
      </c>
      <c r="H947" s="7">
        <v>0</v>
      </c>
      <c r="I947" s="7">
        <v>0</v>
      </c>
      <c r="J947" s="8" t="e">
        <f t="shared" si="14"/>
        <v>#DIV/0!</v>
      </c>
      <c r="K947" s="7" t="s">
        <v>30</v>
      </c>
      <c r="T947" s="14" t="s">
        <v>301</v>
      </c>
    </row>
    <row r="948" spans="1:20" x14ac:dyDescent="0.25">
      <c r="A948" s="15" t="s">
        <v>514</v>
      </c>
      <c r="B948" s="15" t="s">
        <v>482</v>
      </c>
      <c r="C948" s="15" t="s">
        <v>499</v>
      </c>
      <c r="D948" s="15" t="s">
        <v>368</v>
      </c>
      <c r="F948" s="7" t="s">
        <v>30</v>
      </c>
      <c r="H948" s="7">
        <v>0</v>
      </c>
      <c r="I948" s="7">
        <v>0</v>
      </c>
      <c r="J948" s="8" t="e">
        <f t="shared" si="14"/>
        <v>#DIV/0!</v>
      </c>
      <c r="K948" s="7" t="s">
        <v>30</v>
      </c>
      <c r="T948" s="15" t="s">
        <v>499</v>
      </c>
    </row>
    <row r="949" spans="1:20" x14ac:dyDescent="0.25">
      <c r="A949" s="15" t="s">
        <v>514</v>
      </c>
      <c r="B949" s="15" t="s">
        <v>482</v>
      </c>
      <c r="C949" s="15" t="s">
        <v>490</v>
      </c>
      <c r="D949" s="15" t="s">
        <v>454</v>
      </c>
      <c r="F949" s="7" t="s">
        <v>30</v>
      </c>
      <c r="H949" s="7">
        <v>0</v>
      </c>
      <c r="I949" s="7">
        <v>0</v>
      </c>
      <c r="J949" s="8" t="e">
        <f t="shared" si="14"/>
        <v>#DIV/0!</v>
      </c>
      <c r="K949" s="7" t="s">
        <v>30</v>
      </c>
      <c r="T949" s="15" t="s">
        <v>372</v>
      </c>
    </row>
    <row r="950" spans="1:20" x14ac:dyDescent="0.25">
      <c r="A950" s="15" t="s">
        <v>514</v>
      </c>
      <c r="B950" s="15" t="s">
        <v>482</v>
      </c>
      <c r="C950" s="15" t="s">
        <v>420</v>
      </c>
      <c r="D950" s="15" t="s">
        <v>380</v>
      </c>
      <c r="F950" s="7" t="s">
        <v>30</v>
      </c>
      <c r="H950" s="7">
        <v>0</v>
      </c>
      <c r="I950" s="7">
        <v>0</v>
      </c>
      <c r="J950" s="8" t="e">
        <f t="shared" si="14"/>
        <v>#DIV/0!</v>
      </c>
      <c r="K950" s="7" t="s">
        <v>30</v>
      </c>
      <c r="T950" s="15" t="s">
        <v>420</v>
      </c>
    </row>
    <row r="951" spans="1:20" x14ac:dyDescent="0.25">
      <c r="A951" s="15" t="s">
        <v>514</v>
      </c>
      <c r="B951" s="15" t="s">
        <v>482</v>
      </c>
      <c r="C951" s="15" t="s">
        <v>515</v>
      </c>
      <c r="D951" s="15" t="s">
        <v>173</v>
      </c>
      <c r="H951" s="7">
        <v>0</v>
      </c>
      <c r="I951" s="7">
        <v>0</v>
      </c>
      <c r="J951" s="8" t="e">
        <f t="shared" si="14"/>
        <v>#DIV/0!</v>
      </c>
      <c r="K951" s="7" t="s">
        <v>30</v>
      </c>
      <c r="T951" s="15" t="s">
        <v>515</v>
      </c>
    </row>
    <row r="952" spans="1:20" x14ac:dyDescent="0.25">
      <c r="A952" s="15" t="s">
        <v>514</v>
      </c>
      <c r="B952" s="15" t="s">
        <v>482</v>
      </c>
      <c r="C952" s="14" t="s">
        <v>325</v>
      </c>
      <c r="D952" s="15" t="s">
        <v>326</v>
      </c>
      <c r="F952" s="7" t="s">
        <v>30</v>
      </c>
      <c r="H952" s="7">
        <v>0</v>
      </c>
      <c r="I952" s="7">
        <v>0</v>
      </c>
      <c r="J952" s="8" t="e">
        <f t="shared" si="14"/>
        <v>#DIV/0!</v>
      </c>
      <c r="K952" s="7" t="s">
        <v>30</v>
      </c>
      <c r="T952" s="14" t="s">
        <v>325</v>
      </c>
    </row>
    <row r="953" spans="1:20" x14ac:dyDescent="0.25">
      <c r="A953" s="15" t="s">
        <v>514</v>
      </c>
      <c r="B953" s="15" t="s">
        <v>482</v>
      </c>
      <c r="C953" s="15" t="s">
        <v>516</v>
      </c>
      <c r="D953" s="15" t="s">
        <v>324</v>
      </c>
      <c r="H953" s="7">
        <v>0</v>
      </c>
      <c r="I953" s="7">
        <v>0</v>
      </c>
      <c r="J953" s="8" t="e">
        <f t="shared" si="14"/>
        <v>#DIV/0!</v>
      </c>
      <c r="K953" s="7" t="s">
        <v>30</v>
      </c>
      <c r="T953" s="15" t="s">
        <v>516</v>
      </c>
    </row>
    <row r="954" spans="1:20" x14ac:dyDescent="0.25">
      <c r="A954" s="15" t="s">
        <v>514</v>
      </c>
      <c r="B954" s="15" t="s">
        <v>482</v>
      </c>
      <c r="C954" s="15" t="s">
        <v>216</v>
      </c>
      <c r="D954" s="15" t="s">
        <v>164</v>
      </c>
      <c r="H954" s="7">
        <v>6</v>
      </c>
      <c r="I954" s="7">
        <v>8</v>
      </c>
      <c r="J954" s="8">
        <f t="shared" si="14"/>
        <v>0.42857142857142855</v>
      </c>
      <c r="K954" s="7" t="s">
        <v>30</v>
      </c>
      <c r="L954" s="7" t="s">
        <v>30</v>
      </c>
      <c r="T954" s="15" t="s">
        <v>216</v>
      </c>
    </row>
    <row r="955" spans="1:20" x14ac:dyDescent="0.25">
      <c r="A955" s="15" t="s">
        <v>514</v>
      </c>
      <c r="B955" s="15" t="s">
        <v>482</v>
      </c>
      <c r="C955" s="15" t="s">
        <v>315</v>
      </c>
      <c r="D955" s="15" t="s">
        <v>171</v>
      </c>
      <c r="H955" s="7">
        <v>5</v>
      </c>
      <c r="I955" s="7">
        <v>9</v>
      </c>
      <c r="J955" s="8">
        <f t="shared" si="14"/>
        <v>0.35714285714285715</v>
      </c>
      <c r="K955" s="7" t="s">
        <v>30</v>
      </c>
      <c r="L955" s="7" t="s">
        <v>30</v>
      </c>
      <c r="T955" s="15" t="s">
        <v>288</v>
      </c>
    </row>
    <row r="956" spans="1:20" x14ac:dyDescent="0.25">
      <c r="A956" s="15" t="s">
        <v>514</v>
      </c>
      <c r="B956" s="15" t="s">
        <v>482</v>
      </c>
      <c r="C956" s="15" t="s">
        <v>188</v>
      </c>
      <c r="D956" s="15" t="s">
        <v>486</v>
      </c>
      <c r="H956" s="7">
        <v>4</v>
      </c>
      <c r="I956" s="7">
        <v>10</v>
      </c>
      <c r="J956" s="8">
        <f t="shared" si="14"/>
        <v>0.2857142857142857</v>
      </c>
      <c r="K956" s="7" t="s">
        <v>30</v>
      </c>
      <c r="L956" s="7" t="s">
        <v>30</v>
      </c>
      <c r="T956" s="15" t="s">
        <v>188</v>
      </c>
    </row>
    <row r="957" spans="1:20" x14ac:dyDescent="0.25">
      <c r="A957" s="15" t="s">
        <v>514</v>
      </c>
      <c r="B957" s="15" t="s">
        <v>482</v>
      </c>
      <c r="C957" s="15" t="s">
        <v>517</v>
      </c>
      <c r="D957" s="15" t="s">
        <v>393</v>
      </c>
      <c r="F957" s="7" t="s">
        <v>30</v>
      </c>
      <c r="H957" s="7">
        <v>2</v>
      </c>
      <c r="I957" s="7">
        <v>12</v>
      </c>
      <c r="J957" s="8">
        <f t="shared" si="14"/>
        <v>0.14285714285714285</v>
      </c>
      <c r="K957" s="7" t="s">
        <v>30</v>
      </c>
      <c r="L957" s="7" t="s">
        <v>30</v>
      </c>
      <c r="T957" s="15" t="s">
        <v>442</v>
      </c>
    </row>
    <row r="958" spans="1:20" x14ac:dyDescent="0.25">
      <c r="A958" s="15" t="s">
        <v>514</v>
      </c>
      <c r="B958" s="15" t="s">
        <v>482</v>
      </c>
      <c r="C958" s="15" t="s">
        <v>488</v>
      </c>
      <c r="D958" s="15" t="s">
        <v>364</v>
      </c>
      <c r="F958" s="7" t="s">
        <v>30</v>
      </c>
      <c r="H958" s="7">
        <v>0</v>
      </c>
      <c r="I958" s="7">
        <v>0</v>
      </c>
      <c r="J958" s="8" t="e">
        <f t="shared" si="14"/>
        <v>#DIV/0!</v>
      </c>
      <c r="T958" s="15" t="s">
        <v>487</v>
      </c>
    </row>
    <row r="959" spans="1:20" x14ac:dyDescent="0.25">
      <c r="A959" s="15" t="s">
        <v>514</v>
      </c>
      <c r="B959" s="15" t="s">
        <v>482</v>
      </c>
      <c r="C959" s="15" t="s">
        <v>518</v>
      </c>
      <c r="D959" s="15" t="s">
        <v>371</v>
      </c>
      <c r="F959" s="7" t="s">
        <v>30</v>
      </c>
      <c r="H959" s="7">
        <v>0</v>
      </c>
      <c r="I959" s="7">
        <v>0</v>
      </c>
      <c r="J959" s="8" t="e">
        <f t="shared" si="14"/>
        <v>#DIV/0!</v>
      </c>
      <c r="T959" s="15" t="s">
        <v>518</v>
      </c>
    </row>
    <row r="960" spans="1:20" x14ac:dyDescent="0.25">
      <c r="A960" s="15" t="s">
        <v>514</v>
      </c>
      <c r="B960" s="15" t="s">
        <v>482</v>
      </c>
      <c r="C960" s="15" t="s">
        <v>507</v>
      </c>
      <c r="D960" s="15" t="s">
        <v>508</v>
      </c>
      <c r="F960" s="7" t="s">
        <v>30</v>
      </c>
      <c r="H960" s="7">
        <v>0</v>
      </c>
      <c r="I960" s="7">
        <v>0</v>
      </c>
      <c r="J960" s="8" t="e">
        <f t="shared" si="14"/>
        <v>#DIV/0!</v>
      </c>
      <c r="T960" s="15" t="s">
        <v>507</v>
      </c>
    </row>
    <row r="961" spans="1:20" x14ac:dyDescent="0.25">
      <c r="A961" s="15" t="s">
        <v>514</v>
      </c>
      <c r="B961" s="15" t="s">
        <v>482</v>
      </c>
      <c r="C961" s="15" t="s">
        <v>456</v>
      </c>
      <c r="D961" s="15" t="s">
        <v>385</v>
      </c>
      <c r="F961" s="7" t="s">
        <v>30</v>
      </c>
      <c r="H961" s="7">
        <v>0</v>
      </c>
      <c r="I961" s="7">
        <v>0</v>
      </c>
      <c r="J961" s="8" t="e">
        <f t="shared" si="14"/>
        <v>#DIV/0!</v>
      </c>
      <c r="T961" s="15" t="s">
        <v>456</v>
      </c>
    </row>
    <row r="962" spans="1:20" x14ac:dyDescent="0.25">
      <c r="A962" s="15" t="s">
        <v>514</v>
      </c>
      <c r="B962" s="15" t="s">
        <v>482</v>
      </c>
      <c r="C962" s="15" t="s">
        <v>519</v>
      </c>
      <c r="D962" s="15" t="s">
        <v>388</v>
      </c>
      <c r="F962" s="7" t="s">
        <v>30</v>
      </c>
      <c r="H962" s="7">
        <v>0</v>
      </c>
      <c r="I962" s="7">
        <v>0</v>
      </c>
      <c r="J962" s="8" t="e">
        <f t="shared" ref="J962:J988" si="15">H962/SUM(H962:I962)</f>
        <v>#DIV/0!</v>
      </c>
      <c r="T962" s="15" t="s">
        <v>519</v>
      </c>
    </row>
    <row r="963" spans="1:20" x14ac:dyDescent="0.25">
      <c r="A963" s="15" t="s">
        <v>514</v>
      </c>
      <c r="B963" s="15" t="s">
        <v>482</v>
      </c>
      <c r="C963" s="15" t="s">
        <v>520</v>
      </c>
      <c r="D963" s="15" t="s">
        <v>521</v>
      </c>
      <c r="F963" s="7" t="s">
        <v>30</v>
      </c>
      <c r="H963" s="7">
        <v>0</v>
      </c>
      <c r="I963" s="7">
        <v>0</v>
      </c>
      <c r="J963" s="8" t="e">
        <f t="shared" si="15"/>
        <v>#DIV/0!</v>
      </c>
      <c r="T963" s="15" t="s">
        <v>520</v>
      </c>
    </row>
    <row r="964" spans="1:20" x14ac:dyDescent="0.25">
      <c r="A964" s="15" t="s">
        <v>514</v>
      </c>
      <c r="B964" s="15" t="s">
        <v>482</v>
      </c>
      <c r="C964" s="15" t="s">
        <v>522</v>
      </c>
      <c r="D964" s="15" t="s">
        <v>319</v>
      </c>
      <c r="F964" s="7" t="s">
        <v>30</v>
      </c>
      <c r="H964" s="7">
        <v>0</v>
      </c>
      <c r="I964" s="7">
        <v>0</v>
      </c>
      <c r="J964" s="8" t="e">
        <f t="shared" si="15"/>
        <v>#DIV/0!</v>
      </c>
      <c r="T964" s="15" t="s">
        <v>522</v>
      </c>
    </row>
    <row r="965" spans="1:20" x14ac:dyDescent="0.25">
      <c r="A965" s="15" t="s">
        <v>514</v>
      </c>
      <c r="B965" s="15" t="s">
        <v>482</v>
      </c>
      <c r="C965" s="15" t="s">
        <v>513</v>
      </c>
      <c r="D965" s="15" t="s">
        <v>157</v>
      </c>
      <c r="F965" s="7" t="s">
        <v>30</v>
      </c>
      <c r="H965" s="7">
        <v>0</v>
      </c>
      <c r="I965" s="7">
        <v>0</v>
      </c>
      <c r="J965" s="8" t="e">
        <f t="shared" si="15"/>
        <v>#DIV/0!</v>
      </c>
      <c r="T965" s="15" t="s">
        <v>513</v>
      </c>
    </row>
    <row r="966" spans="1:20" x14ac:dyDescent="0.25">
      <c r="A966" s="15" t="s">
        <v>523</v>
      </c>
      <c r="B966" s="15" t="s">
        <v>482</v>
      </c>
      <c r="C966" s="14" t="s">
        <v>174</v>
      </c>
      <c r="D966" s="15" t="s">
        <v>312</v>
      </c>
      <c r="H966" s="7">
        <v>10</v>
      </c>
      <c r="I966" s="7">
        <v>4</v>
      </c>
      <c r="J966" s="8">
        <f t="shared" si="15"/>
        <v>0.7142857142857143</v>
      </c>
      <c r="K966" s="7" t="s">
        <v>30</v>
      </c>
      <c r="L966" s="7" t="s">
        <v>30</v>
      </c>
      <c r="M966" s="7" t="s">
        <v>30</v>
      </c>
      <c r="T966" s="14" t="s">
        <v>174</v>
      </c>
    </row>
    <row r="967" spans="1:20" x14ac:dyDescent="0.25">
      <c r="A967" s="15" t="s">
        <v>523</v>
      </c>
      <c r="B967" s="15" t="s">
        <v>482</v>
      </c>
      <c r="C967" s="15" t="s">
        <v>478</v>
      </c>
      <c r="D967" s="15" t="s">
        <v>152</v>
      </c>
      <c r="H967" s="7">
        <v>9</v>
      </c>
      <c r="I967" s="7">
        <v>5</v>
      </c>
      <c r="J967" s="8">
        <f t="shared" si="15"/>
        <v>0.6428571428571429</v>
      </c>
      <c r="K967" s="7" t="s">
        <v>30</v>
      </c>
      <c r="L967" s="7" t="s">
        <v>30</v>
      </c>
      <c r="M967" s="7" t="s">
        <v>30</v>
      </c>
      <c r="T967" s="15" t="s">
        <v>478</v>
      </c>
    </row>
    <row r="968" spans="1:20" x14ac:dyDescent="0.25">
      <c r="A968" s="15" t="s">
        <v>523</v>
      </c>
      <c r="B968" s="15" t="s">
        <v>482</v>
      </c>
      <c r="C968" s="15" t="s">
        <v>524</v>
      </c>
      <c r="D968" s="15" t="s">
        <v>171</v>
      </c>
      <c r="H968" s="7">
        <v>9</v>
      </c>
      <c r="I968" s="7">
        <v>5</v>
      </c>
      <c r="J968" s="8">
        <f t="shared" si="15"/>
        <v>0.6428571428571429</v>
      </c>
      <c r="K968" s="7" t="s">
        <v>30</v>
      </c>
      <c r="L968" s="7" t="s">
        <v>30</v>
      </c>
      <c r="M968" s="7" t="s">
        <v>30</v>
      </c>
      <c r="N968" s="7" t="s">
        <v>30</v>
      </c>
      <c r="O968" s="16" t="s">
        <v>30</v>
      </c>
      <c r="T968" s="15" t="s">
        <v>170</v>
      </c>
    </row>
    <row r="969" spans="1:20" x14ac:dyDescent="0.25">
      <c r="A969" s="15" t="s">
        <v>523</v>
      </c>
      <c r="B969" s="15" t="s">
        <v>482</v>
      </c>
      <c r="C969" s="14" t="s">
        <v>169</v>
      </c>
      <c r="D969" s="15" t="s">
        <v>161</v>
      </c>
      <c r="H969" s="7">
        <v>8</v>
      </c>
      <c r="I969" s="7">
        <v>6</v>
      </c>
      <c r="J969" s="8">
        <f t="shared" si="15"/>
        <v>0.5714285714285714</v>
      </c>
      <c r="K969" s="7" t="s">
        <v>30</v>
      </c>
      <c r="L969" s="7" t="s">
        <v>30</v>
      </c>
      <c r="M969" s="7" t="s">
        <v>30</v>
      </c>
      <c r="N969" s="7" t="s">
        <v>30</v>
      </c>
      <c r="T969" s="14" t="s">
        <v>169</v>
      </c>
    </row>
    <row r="970" spans="1:20" x14ac:dyDescent="0.25">
      <c r="A970" s="15" t="s">
        <v>523</v>
      </c>
      <c r="B970" s="15" t="s">
        <v>482</v>
      </c>
      <c r="C970" s="15" t="s">
        <v>499</v>
      </c>
      <c r="D970" s="15" t="s">
        <v>368</v>
      </c>
      <c r="H970" s="7">
        <v>0</v>
      </c>
      <c r="I970" s="7">
        <v>0</v>
      </c>
      <c r="J970" s="8" t="e">
        <f t="shared" si="15"/>
        <v>#DIV/0!</v>
      </c>
      <c r="K970" s="7" t="s">
        <v>30</v>
      </c>
      <c r="T970" s="15" t="s">
        <v>499</v>
      </c>
    </row>
    <row r="971" spans="1:20" x14ac:dyDescent="0.25">
      <c r="A971" s="15" t="s">
        <v>523</v>
      </c>
      <c r="B971" s="15" t="s">
        <v>482</v>
      </c>
      <c r="C971" s="15" t="s">
        <v>490</v>
      </c>
      <c r="D971" s="15" t="s">
        <v>454</v>
      </c>
      <c r="F971" s="7" t="s">
        <v>30</v>
      </c>
      <c r="H971" s="7">
        <v>0</v>
      </c>
      <c r="I971" s="7">
        <v>0</v>
      </c>
      <c r="J971" s="8" t="e">
        <f t="shared" si="15"/>
        <v>#DIV/0!</v>
      </c>
      <c r="K971" s="7" t="s">
        <v>30</v>
      </c>
      <c r="T971" s="15" t="s">
        <v>372</v>
      </c>
    </row>
    <row r="972" spans="1:20" x14ac:dyDescent="0.25">
      <c r="A972" s="15" t="s">
        <v>523</v>
      </c>
      <c r="B972" s="15" t="s">
        <v>482</v>
      </c>
      <c r="C972" s="15" t="s">
        <v>526</v>
      </c>
      <c r="D972" s="15" t="s">
        <v>385</v>
      </c>
      <c r="F972" s="7" t="s">
        <v>30</v>
      </c>
      <c r="H972" s="7">
        <v>0</v>
      </c>
      <c r="I972" s="7">
        <v>0</v>
      </c>
      <c r="J972" s="8" t="e">
        <f t="shared" si="15"/>
        <v>#DIV/0!</v>
      </c>
      <c r="K972" s="7" t="s">
        <v>30</v>
      </c>
      <c r="T972" s="15" t="s">
        <v>525</v>
      </c>
    </row>
    <row r="973" spans="1:20" x14ac:dyDescent="0.25">
      <c r="A973" s="15" t="s">
        <v>523</v>
      </c>
      <c r="B973" s="15" t="s">
        <v>482</v>
      </c>
      <c r="C973" s="14" t="s">
        <v>296</v>
      </c>
      <c r="D973" s="15" t="s">
        <v>220</v>
      </c>
      <c r="H973" s="7">
        <v>0</v>
      </c>
      <c r="I973" s="7">
        <v>0</v>
      </c>
      <c r="J973" s="8" t="e">
        <f t="shared" si="15"/>
        <v>#DIV/0!</v>
      </c>
      <c r="K973" s="7" t="s">
        <v>30</v>
      </c>
      <c r="T973" s="14" t="s">
        <v>296</v>
      </c>
    </row>
    <row r="974" spans="1:20" x14ac:dyDescent="0.25">
      <c r="A974" s="15" t="s">
        <v>523</v>
      </c>
      <c r="B974" s="15" t="s">
        <v>482</v>
      </c>
      <c r="C974" s="15" t="s">
        <v>406</v>
      </c>
      <c r="D974" s="15" t="s">
        <v>326</v>
      </c>
      <c r="F974" s="7" t="s">
        <v>30</v>
      </c>
      <c r="H974" s="7">
        <v>0</v>
      </c>
      <c r="I974" s="7">
        <v>0</v>
      </c>
      <c r="J974" s="8" t="e">
        <f t="shared" si="15"/>
        <v>#DIV/0!</v>
      </c>
      <c r="K974" s="7" t="s">
        <v>30</v>
      </c>
      <c r="T974" s="15" t="s">
        <v>406</v>
      </c>
    </row>
    <row r="975" spans="1:20" x14ac:dyDescent="0.25">
      <c r="A975" s="15" t="s">
        <v>523</v>
      </c>
      <c r="B975" s="15" t="s">
        <v>482</v>
      </c>
      <c r="C975" s="15" t="s">
        <v>516</v>
      </c>
      <c r="D975" s="15" t="s">
        <v>324</v>
      </c>
      <c r="F975" s="7" t="s">
        <v>30</v>
      </c>
      <c r="H975" s="7">
        <v>0</v>
      </c>
      <c r="I975" s="7">
        <v>0</v>
      </c>
      <c r="J975" s="8" t="e">
        <f t="shared" si="15"/>
        <v>#DIV/0!</v>
      </c>
      <c r="K975" s="7" t="s">
        <v>30</v>
      </c>
      <c r="T975" s="15" t="s">
        <v>516</v>
      </c>
    </row>
    <row r="976" spans="1:20" x14ac:dyDescent="0.25">
      <c r="A976" s="15" t="s">
        <v>523</v>
      </c>
      <c r="B976" s="15" t="s">
        <v>482</v>
      </c>
      <c r="C976" s="15" t="s">
        <v>505</v>
      </c>
      <c r="D976" s="15" t="s">
        <v>319</v>
      </c>
      <c r="F976" s="7" t="s">
        <v>30</v>
      </c>
      <c r="H976" s="7">
        <v>0</v>
      </c>
      <c r="I976" s="7">
        <v>0</v>
      </c>
      <c r="J976" s="8" t="e">
        <f t="shared" si="15"/>
        <v>#DIV/0!</v>
      </c>
      <c r="K976" s="7" t="s">
        <v>30</v>
      </c>
      <c r="T976" s="15" t="s">
        <v>495</v>
      </c>
    </row>
    <row r="977" spans="1:20" x14ac:dyDescent="0.25">
      <c r="A977" s="15" t="s">
        <v>523</v>
      </c>
      <c r="B977" s="15" t="s">
        <v>482</v>
      </c>
      <c r="C977" s="14" t="s">
        <v>218</v>
      </c>
      <c r="D977" s="15" t="s">
        <v>157</v>
      </c>
      <c r="H977" s="7">
        <v>0</v>
      </c>
      <c r="I977" s="7">
        <v>0</v>
      </c>
      <c r="J977" s="8" t="e">
        <f t="shared" si="15"/>
        <v>#DIV/0!</v>
      </c>
      <c r="K977" s="7" t="s">
        <v>30</v>
      </c>
      <c r="T977" s="14" t="s">
        <v>218</v>
      </c>
    </row>
    <row r="978" spans="1:20" x14ac:dyDescent="0.25">
      <c r="A978" s="15" t="s">
        <v>523</v>
      </c>
      <c r="B978" s="15" t="s">
        <v>482</v>
      </c>
      <c r="C978" s="14" t="s">
        <v>581</v>
      </c>
      <c r="D978" s="15" t="s">
        <v>154</v>
      </c>
      <c r="H978" s="7">
        <v>7</v>
      </c>
      <c r="I978" s="7">
        <v>7</v>
      </c>
      <c r="J978" s="8">
        <f t="shared" si="15"/>
        <v>0.5</v>
      </c>
      <c r="K978" s="7" t="s">
        <v>30</v>
      </c>
      <c r="L978" s="7" t="s">
        <v>30</v>
      </c>
      <c r="T978" s="14" t="s">
        <v>581</v>
      </c>
    </row>
    <row r="979" spans="1:20" x14ac:dyDescent="0.25">
      <c r="A979" s="15" t="s">
        <v>523</v>
      </c>
      <c r="B979" s="15" t="s">
        <v>482</v>
      </c>
      <c r="C979" s="15" t="s">
        <v>515</v>
      </c>
      <c r="D979" s="15" t="s">
        <v>173</v>
      </c>
      <c r="F979" s="7" t="s">
        <v>30</v>
      </c>
      <c r="H979" s="7">
        <v>5</v>
      </c>
      <c r="I979" s="7">
        <v>9</v>
      </c>
      <c r="J979" s="8">
        <f t="shared" si="15"/>
        <v>0.35714285714285715</v>
      </c>
      <c r="K979" s="7" t="s">
        <v>30</v>
      </c>
      <c r="L979" s="7" t="s">
        <v>30</v>
      </c>
      <c r="T979" s="15" t="s">
        <v>515</v>
      </c>
    </row>
    <row r="980" spans="1:20" x14ac:dyDescent="0.25">
      <c r="A980" s="15" t="s">
        <v>523</v>
      </c>
      <c r="B980" s="15" t="s">
        <v>482</v>
      </c>
      <c r="C980" s="15" t="s">
        <v>527</v>
      </c>
      <c r="D980" s="15" t="s">
        <v>164</v>
      </c>
      <c r="H980" s="7">
        <v>4</v>
      </c>
      <c r="I980" s="7">
        <v>10</v>
      </c>
      <c r="J980" s="8">
        <f t="shared" si="15"/>
        <v>0.2857142857142857</v>
      </c>
      <c r="K980" s="7" t="s">
        <v>30</v>
      </c>
      <c r="L980" s="7" t="s">
        <v>30</v>
      </c>
      <c r="T980" s="14" t="s">
        <v>279</v>
      </c>
    </row>
    <row r="981" spans="1:20" x14ac:dyDescent="0.25">
      <c r="A981" s="15" t="s">
        <v>523</v>
      </c>
      <c r="B981" s="15" t="s">
        <v>482</v>
      </c>
      <c r="C981" s="15" t="s">
        <v>517</v>
      </c>
      <c r="D981" s="15" t="s">
        <v>393</v>
      </c>
      <c r="F981" s="7" t="s">
        <v>30</v>
      </c>
      <c r="H981" s="7">
        <v>4</v>
      </c>
      <c r="I981" s="7">
        <v>10</v>
      </c>
      <c r="J981" s="8">
        <f t="shared" si="15"/>
        <v>0.2857142857142857</v>
      </c>
      <c r="K981" s="7" t="s">
        <v>30</v>
      </c>
      <c r="L981" s="7" t="s">
        <v>30</v>
      </c>
      <c r="T981" s="15" t="s">
        <v>442</v>
      </c>
    </row>
    <row r="982" spans="1:20" x14ac:dyDescent="0.25">
      <c r="A982" s="15" t="s">
        <v>523</v>
      </c>
      <c r="B982" s="15" t="s">
        <v>482</v>
      </c>
      <c r="C982" s="15" t="s">
        <v>488</v>
      </c>
      <c r="D982" s="15" t="s">
        <v>364</v>
      </c>
      <c r="F982" s="7" t="s">
        <v>30</v>
      </c>
      <c r="H982" s="7">
        <v>0</v>
      </c>
      <c r="I982" s="7">
        <v>0</v>
      </c>
      <c r="J982" s="8" t="e">
        <f t="shared" si="15"/>
        <v>#DIV/0!</v>
      </c>
      <c r="T982" s="15" t="s">
        <v>487</v>
      </c>
    </row>
    <row r="983" spans="1:20" x14ac:dyDescent="0.25">
      <c r="A983" s="15" t="s">
        <v>523</v>
      </c>
      <c r="B983" s="15" t="s">
        <v>482</v>
      </c>
      <c r="C983" s="15" t="s">
        <v>446</v>
      </c>
      <c r="D983" s="15" t="s">
        <v>251</v>
      </c>
      <c r="F983" s="7" t="s">
        <v>30</v>
      </c>
      <c r="H983" s="7">
        <v>0</v>
      </c>
      <c r="I983" s="7">
        <v>0</v>
      </c>
      <c r="J983" s="8" t="e">
        <f t="shared" si="15"/>
        <v>#DIV/0!</v>
      </c>
      <c r="T983" s="15" t="s">
        <v>411</v>
      </c>
    </row>
    <row r="984" spans="1:20" x14ac:dyDescent="0.25">
      <c r="A984" s="15" t="s">
        <v>523</v>
      </c>
      <c r="B984" s="15" t="s">
        <v>482</v>
      </c>
      <c r="C984" s="15" t="s">
        <v>518</v>
      </c>
      <c r="D984" s="15" t="s">
        <v>371</v>
      </c>
      <c r="F984" s="7" t="s">
        <v>30</v>
      </c>
      <c r="H984" s="7">
        <v>0</v>
      </c>
      <c r="I984" s="7">
        <v>0</v>
      </c>
      <c r="J984" s="8" t="e">
        <f t="shared" si="15"/>
        <v>#DIV/0!</v>
      </c>
      <c r="T984" s="15" t="s">
        <v>518</v>
      </c>
    </row>
    <row r="985" spans="1:20" x14ac:dyDescent="0.25">
      <c r="A985" s="15" t="s">
        <v>523</v>
      </c>
      <c r="B985" s="15" t="s">
        <v>482</v>
      </c>
      <c r="C985" s="15" t="s">
        <v>528</v>
      </c>
      <c r="D985" s="15" t="s">
        <v>376</v>
      </c>
      <c r="F985" s="7" t="s">
        <v>30</v>
      </c>
      <c r="H985" s="7">
        <v>0</v>
      </c>
      <c r="I985" s="7">
        <v>0</v>
      </c>
      <c r="J985" s="8" t="e">
        <f t="shared" si="15"/>
        <v>#DIV/0!</v>
      </c>
      <c r="T985" s="15" t="s">
        <v>528</v>
      </c>
    </row>
    <row r="986" spans="1:20" x14ac:dyDescent="0.25">
      <c r="A986" s="15" t="s">
        <v>523</v>
      </c>
      <c r="B986" s="15" t="s">
        <v>482</v>
      </c>
      <c r="C986" s="15" t="s">
        <v>455</v>
      </c>
      <c r="D986" s="15" t="s">
        <v>380</v>
      </c>
      <c r="F986" s="7" t="s">
        <v>30</v>
      </c>
      <c r="H986" s="7">
        <v>0</v>
      </c>
      <c r="I986" s="7">
        <v>0</v>
      </c>
      <c r="J986" s="8" t="e">
        <f t="shared" si="15"/>
        <v>#DIV/0!</v>
      </c>
      <c r="T986" s="15" t="s">
        <v>455</v>
      </c>
    </row>
    <row r="987" spans="1:20" x14ac:dyDescent="0.25">
      <c r="A987" s="15" t="s">
        <v>523</v>
      </c>
      <c r="B987" s="15" t="s">
        <v>482</v>
      </c>
      <c r="C987" s="15" t="s">
        <v>529</v>
      </c>
      <c r="D987" s="15" t="s">
        <v>388</v>
      </c>
      <c r="F987" s="7" t="s">
        <v>30</v>
      </c>
      <c r="H987" s="7">
        <v>0</v>
      </c>
      <c r="I987" s="7">
        <v>0</v>
      </c>
      <c r="J987" s="8" t="e">
        <f t="shared" si="15"/>
        <v>#DIV/0!</v>
      </c>
      <c r="T987" s="15" t="s">
        <v>529</v>
      </c>
    </row>
    <row r="988" spans="1:20" x14ac:dyDescent="0.25">
      <c r="A988" s="15" t="s">
        <v>523</v>
      </c>
      <c r="B988" s="15" t="s">
        <v>482</v>
      </c>
      <c r="C988" s="15" t="s">
        <v>502</v>
      </c>
      <c r="D988" s="15" t="s">
        <v>503</v>
      </c>
      <c r="F988" s="7" t="s">
        <v>30</v>
      </c>
      <c r="H988" s="7">
        <v>0</v>
      </c>
      <c r="I988" s="7">
        <v>0</v>
      </c>
      <c r="J988" s="8" t="e">
        <f t="shared" si="15"/>
        <v>#DIV/0!</v>
      </c>
      <c r="T988" s="15" t="s">
        <v>502</v>
      </c>
    </row>
    <row r="989" spans="1:20" x14ac:dyDescent="0.25">
      <c r="A989" s="7" t="s">
        <v>530</v>
      </c>
      <c r="B989" s="15" t="s">
        <v>482</v>
      </c>
      <c r="C989" s="7" t="s">
        <v>524</v>
      </c>
      <c r="D989" s="7" t="s">
        <v>171</v>
      </c>
      <c r="N989" s="7" t="s">
        <v>30</v>
      </c>
      <c r="O989" s="16" t="s">
        <v>30</v>
      </c>
      <c r="T989" s="7" t="s">
        <v>170</v>
      </c>
    </row>
    <row r="990" spans="1:20" x14ac:dyDescent="0.25">
      <c r="A990" s="7" t="s">
        <v>530</v>
      </c>
      <c r="B990" s="15" t="s">
        <v>482</v>
      </c>
      <c r="C990" s="7" t="s">
        <v>531</v>
      </c>
      <c r="D990" s="7" t="s">
        <v>161</v>
      </c>
      <c r="N990" s="7" t="s">
        <v>30</v>
      </c>
      <c r="T990" s="7" t="s">
        <v>169</v>
      </c>
    </row>
    <row r="991" spans="1:20" x14ac:dyDescent="0.25">
      <c r="A991" s="7" t="s">
        <v>532</v>
      </c>
      <c r="B991" s="15" t="s">
        <v>482</v>
      </c>
      <c r="C991" s="7" t="s">
        <v>257</v>
      </c>
      <c r="D991" s="7" t="s">
        <v>312</v>
      </c>
      <c r="N991" s="7" t="s">
        <v>30</v>
      </c>
      <c r="O991" s="16" t="s">
        <v>30</v>
      </c>
      <c r="T991" s="7" t="s">
        <v>257</v>
      </c>
    </row>
    <row r="992" spans="1:20" x14ac:dyDescent="0.25">
      <c r="A992" s="7" t="s">
        <v>532</v>
      </c>
      <c r="B992" s="15" t="s">
        <v>482</v>
      </c>
      <c r="C992" s="7" t="s">
        <v>158</v>
      </c>
      <c r="D992" s="7" t="s">
        <v>486</v>
      </c>
      <c r="N992" s="7" t="s">
        <v>30</v>
      </c>
      <c r="T992" s="7" t="s">
        <v>158</v>
      </c>
    </row>
    <row r="993" spans="1:20" x14ac:dyDescent="0.25">
      <c r="A993" s="7" t="s">
        <v>533</v>
      </c>
      <c r="B993" s="15" t="s">
        <v>482</v>
      </c>
      <c r="C993" s="7" t="s">
        <v>257</v>
      </c>
      <c r="D993" s="7" t="s">
        <v>312</v>
      </c>
      <c r="N993" s="7" t="s">
        <v>30</v>
      </c>
      <c r="O993" s="16" t="s">
        <v>30</v>
      </c>
      <c r="T993" s="7" t="s">
        <v>257</v>
      </c>
    </row>
    <row r="994" spans="1:20" x14ac:dyDescent="0.25">
      <c r="A994" s="7" t="s">
        <v>533</v>
      </c>
      <c r="B994" s="15" t="s">
        <v>482</v>
      </c>
      <c r="C994" s="7" t="s">
        <v>534</v>
      </c>
      <c r="D994" s="7" t="s">
        <v>154</v>
      </c>
      <c r="N994" s="7" t="s">
        <v>30</v>
      </c>
      <c r="T994" s="7" t="s">
        <v>155</v>
      </c>
    </row>
    <row r="995" spans="1:20" x14ac:dyDescent="0.25">
      <c r="A995" s="7" t="s">
        <v>535</v>
      </c>
      <c r="B995" s="15" t="s">
        <v>482</v>
      </c>
      <c r="C995" s="7" t="s">
        <v>536</v>
      </c>
      <c r="D995" s="7" t="s">
        <v>171</v>
      </c>
      <c r="N995" s="7" t="s">
        <v>30</v>
      </c>
      <c r="O995" s="16" t="s">
        <v>30</v>
      </c>
      <c r="T995" s="7" t="s">
        <v>255</v>
      </c>
    </row>
    <row r="996" spans="1:20" x14ac:dyDescent="0.25">
      <c r="A996" s="7" t="s">
        <v>535</v>
      </c>
      <c r="B996" s="15" t="s">
        <v>482</v>
      </c>
      <c r="C996" s="7" t="s">
        <v>537</v>
      </c>
      <c r="D996" s="7" t="s">
        <v>154</v>
      </c>
      <c r="N996" s="7" t="s">
        <v>30</v>
      </c>
      <c r="T996" s="7" t="s">
        <v>581</v>
      </c>
    </row>
    <row r="997" spans="1:20" x14ac:dyDescent="0.25">
      <c r="A997" s="7" t="s">
        <v>538</v>
      </c>
      <c r="B997" s="15" t="s">
        <v>482</v>
      </c>
      <c r="C997" s="7" t="s">
        <v>539</v>
      </c>
      <c r="D997" s="7" t="s">
        <v>171</v>
      </c>
      <c r="N997" s="7" t="s">
        <v>30</v>
      </c>
      <c r="O997" s="16" t="s">
        <v>30</v>
      </c>
      <c r="T997" s="7" t="s">
        <v>239</v>
      </c>
    </row>
    <row r="998" spans="1:20" x14ac:dyDescent="0.25">
      <c r="A998" s="7" t="s">
        <v>538</v>
      </c>
      <c r="B998" s="15" t="s">
        <v>482</v>
      </c>
      <c r="C998" s="7" t="s">
        <v>540</v>
      </c>
      <c r="D998" s="7" t="s">
        <v>171</v>
      </c>
      <c r="N998" s="7" t="s">
        <v>30</v>
      </c>
      <c r="T998" s="7" t="s">
        <v>170</v>
      </c>
    </row>
    <row r="999" spans="1:20" x14ac:dyDescent="0.25">
      <c r="A999" s="7" t="s">
        <v>541</v>
      </c>
      <c r="B999" s="15" t="s">
        <v>482</v>
      </c>
      <c r="C999" s="7" t="s">
        <v>542</v>
      </c>
      <c r="D999" s="7" t="s">
        <v>171</v>
      </c>
      <c r="N999" s="7" t="s">
        <v>30</v>
      </c>
      <c r="O999" s="16" t="s">
        <v>30</v>
      </c>
      <c r="T999" s="7" t="s">
        <v>239</v>
      </c>
    </row>
    <row r="1000" spans="1:20" x14ac:dyDescent="0.25">
      <c r="A1000" s="7" t="s">
        <v>541</v>
      </c>
      <c r="B1000" s="15" t="s">
        <v>482</v>
      </c>
      <c r="C1000" s="7" t="s">
        <v>531</v>
      </c>
      <c r="D1000" s="7" t="s">
        <v>161</v>
      </c>
      <c r="N1000" s="7" t="s">
        <v>30</v>
      </c>
      <c r="T1000" s="7" t="s">
        <v>169</v>
      </c>
    </row>
    <row r="1001" spans="1:20" x14ac:dyDescent="0.25">
      <c r="A1001" s="7" t="s">
        <v>543</v>
      </c>
      <c r="B1001" s="15" t="s">
        <v>482</v>
      </c>
      <c r="C1001" s="7" t="s">
        <v>531</v>
      </c>
      <c r="D1001" s="7" t="s">
        <v>161</v>
      </c>
      <c r="N1001" s="7" t="s">
        <v>30</v>
      </c>
      <c r="O1001" s="16" t="s">
        <v>30</v>
      </c>
      <c r="T1001" s="7" t="s">
        <v>169</v>
      </c>
    </row>
    <row r="1002" spans="1:20" x14ac:dyDescent="0.25">
      <c r="A1002" s="7" t="s">
        <v>543</v>
      </c>
      <c r="B1002" s="15" t="s">
        <v>482</v>
      </c>
      <c r="C1002" s="7" t="s">
        <v>544</v>
      </c>
      <c r="D1002" s="7" t="s">
        <v>171</v>
      </c>
      <c r="N1002" s="7" t="s">
        <v>30</v>
      </c>
      <c r="T1002" s="7" t="s">
        <v>176</v>
      </c>
    </row>
    <row r="1003" spans="1:20" x14ac:dyDescent="0.25">
      <c r="A1003" s="7" t="s">
        <v>545</v>
      </c>
      <c r="B1003" s="15" t="s">
        <v>482</v>
      </c>
      <c r="C1003" s="7" t="s">
        <v>534</v>
      </c>
      <c r="D1003" s="7" t="s">
        <v>154</v>
      </c>
      <c r="N1003" s="7" t="s">
        <v>30</v>
      </c>
      <c r="O1003" s="16" t="s">
        <v>30</v>
      </c>
      <c r="T1003" s="7" t="s">
        <v>155</v>
      </c>
    </row>
    <row r="1004" spans="1:20" x14ac:dyDescent="0.25">
      <c r="A1004" s="7" t="s">
        <v>545</v>
      </c>
      <c r="B1004" s="15" t="s">
        <v>482</v>
      </c>
      <c r="C1004" s="7" t="s">
        <v>531</v>
      </c>
      <c r="D1004" s="7" t="s">
        <v>161</v>
      </c>
      <c r="N1004" s="7" t="s">
        <v>30</v>
      </c>
      <c r="T1004" s="7" t="s">
        <v>169</v>
      </c>
    </row>
    <row r="1005" spans="1:20" x14ac:dyDescent="0.25">
      <c r="A1005" s="7" t="s">
        <v>547</v>
      </c>
      <c r="B1005" s="15" t="s">
        <v>482</v>
      </c>
      <c r="C1005" s="7" t="s">
        <v>546</v>
      </c>
      <c r="D1005" s="7" t="s">
        <v>312</v>
      </c>
      <c r="N1005" s="7" t="s">
        <v>30</v>
      </c>
      <c r="O1005" s="16" t="s">
        <v>30</v>
      </c>
      <c r="T1005" s="7" t="s">
        <v>546</v>
      </c>
    </row>
    <row r="1006" spans="1:20" x14ac:dyDescent="0.25">
      <c r="A1006" s="7" t="s">
        <v>547</v>
      </c>
      <c r="B1006" s="15" t="s">
        <v>482</v>
      </c>
      <c r="C1006" s="7" t="s">
        <v>548</v>
      </c>
      <c r="D1006" s="7" t="s">
        <v>171</v>
      </c>
      <c r="N1006" s="7" t="s">
        <v>30</v>
      </c>
      <c r="T1006" s="7" t="s">
        <v>335</v>
      </c>
    </row>
    <row r="1007" spans="1:20" x14ac:dyDescent="0.25">
      <c r="A1007" s="7" t="s">
        <v>549</v>
      </c>
      <c r="B1007" s="15" t="s">
        <v>482</v>
      </c>
      <c r="C1007" s="7" t="s">
        <v>534</v>
      </c>
      <c r="D1007" s="7" t="s">
        <v>154</v>
      </c>
      <c r="N1007" s="7" t="s">
        <v>30</v>
      </c>
      <c r="O1007" s="16" t="s">
        <v>30</v>
      </c>
      <c r="T1007" s="7" t="s">
        <v>155</v>
      </c>
    </row>
    <row r="1008" spans="1:20" x14ac:dyDescent="0.25">
      <c r="A1008" s="7" t="s">
        <v>549</v>
      </c>
      <c r="B1008" s="15" t="s">
        <v>482</v>
      </c>
      <c r="C1008" s="7" t="s">
        <v>550</v>
      </c>
      <c r="D1008" s="7" t="s">
        <v>171</v>
      </c>
      <c r="N1008" s="7" t="s">
        <v>30</v>
      </c>
      <c r="T1008" s="7" t="s">
        <v>335</v>
      </c>
    </row>
    <row r="1009" spans="1:20" x14ac:dyDescent="0.25">
      <c r="A1009" s="7" t="s">
        <v>551</v>
      </c>
      <c r="B1009" s="15" t="s">
        <v>482</v>
      </c>
      <c r="C1009" s="7" t="s">
        <v>531</v>
      </c>
      <c r="D1009" s="7" t="s">
        <v>161</v>
      </c>
      <c r="N1009" s="7" t="s">
        <v>30</v>
      </c>
      <c r="O1009" s="16" t="s">
        <v>30</v>
      </c>
      <c r="T1009" s="7" t="s">
        <v>169</v>
      </c>
    </row>
    <row r="1010" spans="1:20" x14ac:dyDescent="0.25">
      <c r="A1010" s="7" t="s">
        <v>551</v>
      </c>
      <c r="B1010" s="15" t="s">
        <v>482</v>
      </c>
      <c r="C1010" s="7" t="s">
        <v>550</v>
      </c>
      <c r="D1010" s="7" t="s">
        <v>171</v>
      </c>
      <c r="N1010" s="7" t="s">
        <v>30</v>
      </c>
      <c r="T1010" s="7" t="s">
        <v>335</v>
      </c>
    </row>
    <row r="1011" spans="1:20" x14ac:dyDescent="0.25">
      <c r="A1011" s="7" t="s">
        <v>552</v>
      </c>
      <c r="B1011" s="15" t="s">
        <v>482</v>
      </c>
      <c r="C1011" s="7" t="s">
        <v>550</v>
      </c>
      <c r="D1011" s="7" t="s">
        <v>171</v>
      </c>
      <c r="N1011" s="7" t="s">
        <v>30</v>
      </c>
      <c r="O1011" s="16" t="s">
        <v>30</v>
      </c>
      <c r="T1011" s="7" t="s">
        <v>335</v>
      </c>
    </row>
    <row r="1012" spans="1:20" x14ac:dyDescent="0.25">
      <c r="A1012" s="7" t="s">
        <v>552</v>
      </c>
      <c r="B1012" s="15" t="s">
        <v>482</v>
      </c>
      <c r="C1012" s="7" t="s">
        <v>534</v>
      </c>
      <c r="D1012" s="7" t="s">
        <v>154</v>
      </c>
      <c r="N1012" s="7" t="s">
        <v>30</v>
      </c>
      <c r="T1012" s="7" t="s">
        <v>155</v>
      </c>
    </row>
    <row r="1013" spans="1:20" x14ac:dyDescent="0.25">
      <c r="A1013" s="7" t="s">
        <v>553</v>
      </c>
      <c r="B1013" s="15" t="s">
        <v>482</v>
      </c>
      <c r="C1013" s="7" t="s">
        <v>554</v>
      </c>
      <c r="D1013" s="7" t="s">
        <v>171</v>
      </c>
      <c r="N1013" s="7" t="s">
        <v>30</v>
      </c>
      <c r="O1013" s="16" t="s">
        <v>30</v>
      </c>
      <c r="T1013" s="7" t="s">
        <v>335</v>
      </c>
    </row>
    <row r="1014" spans="1:20" x14ac:dyDescent="0.25">
      <c r="A1014" s="7" t="s">
        <v>553</v>
      </c>
      <c r="B1014" s="15" t="s">
        <v>482</v>
      </c>
      <c r="C1014" s="7" t="s">
        <v>534</v>
      </c>
      <c r="D1014" s="7" t="s">
        <v>154</v>
      </c>
      <c r="N1014" s="7" t="s">
        <v>30</v>
      </c>
      <c r="T1014" s="7" t="s">
        <v>155</v>
      </c>
    </row>
    <row r="1015" spans="1:20" x14ac:dyDescent="0.25">
      <c r="A1015" s="7" t="s">
        <v>555</v>
      </c>
      <c r="B1015" s="15" t="s">
        <v>482</v>
      </c>
      <c r="C1015" s="7" t="s">
        <v>534</v>
      </c>
      <c r="D1015" s="7" t="s">
        <v>154</v>
      </c>
      <c r="N1015" s="7" t="s">
        <v>30</v>
      </c>
      <c r="O1015" s="16" t="s">
        <v>30</v>
      </c>
      <c r="T1015" s="7" t="s">
        <v>155</v>
      </c>
    </row>
    <row r="1016" spans="1:20" x14ac:dyDescent="0.25">
      <c r="A1016" s="7" t="s">
        <v>555</v>
      </c>
      <c r="B1016" s="15" t="s">
        <v>482</v>
      </c>
      <c r="C1016" s="7" t="s">
        <v>554</v>
      </c>
      <c r="D1016" s="7" t="s">
        <v>171</v>
      </c>
      <c r="N1016" s="7" t="s">
        <v>30</v>
      </c>
      <c r="T1016" s="7" t="s">
        <v>335</v>
      </c>
    </row>
    <row r="1017" spans="1:20" x14ac:dyDescent="0.25">
      <c r="A1017" s="7" t="s">
        <v>556</v>
      </c>
      <c r="B1017" s="15" t="s">
        <v>482</v>
      </c>
      <c r="C1017" s="7" t="s">
        <v>554</v>
      </c>
      <c r="D1017" s="7" t="s">
        <v>171</v>
      </c>
      <c r="N1017" s="7" t="s">
        <v>30</v>
      </c>
      <c r="O1017" s="16" t="s">
        <v>30</v>
      </c>
      <c r="T1017" s="7" t="s">
        <v>335</v>
      </c>
    </row>
    <row r="1018" spans="1:20" x14ac:dyDescent="0.25">
      <c r="A1018" s="7" t="s">
        <v>556</v>
      </c>
      <c r="B1018" s="15" t="s">
        <v>482</v>
      </c>
      <c r="C1018" s="7" t="s">
        <v>188</v>
      </c>
      <c r="D1018" s="7" t="s">
        <v>486</v>
      </c>
      <c r="N1018" s="7" t="s">
        <v>30</v>
      </c>
      <c r="T1018" s="7" t="s">
        <v>188</v>
      </c>
    </row>
    <row r="1019" spans="1:20" x14ac:dyDescent="0.25">
      <c r="A1019" s="7" t="s">
        <v>557</v>
      </c>
      <c r="B1019" s="15" t="s">
        <v>482</v>
      </c>
      <c r="C1019" s="7" t="s">
        <v>554</v>
      </c>
      <c r="D1019" s="7" t="s">
        <v>171</v>
      </c>
      <c r="N1019" s="7" t="s">
        <v>30</v>
      </c>
      <c r="O1019" s="16" t="s">
        <v>30</v>
      </c>
      <c r="T1019" s="7" t="s">
        <v>335</v>
      </c>
    </row>
    <row r="1020" spans="1:20" x14ac:dyDescent="0.25">
      <c r="A1020" s="7" t="s">
        <v>557</v>
      </c>
      <c r="B1020" s="15" t="s">
        <v>482</v>
      </c>
      <c r="C1020" s="7" t="s">
        <v>498</v>
      </c>
      <c r="D1020" s="7" t="s">
        <v>312</v>
      </c>
      <c r="N1020" s="7" t="s">
        <v>30</v>
      </c>
      <c r="T1020" s="7" t="s">
        <v>310</v>
      </c>
    </row>
    <row r="1021" spans="1:20" x14ac:dyDescent="0.25">
      <c r="A1021" s="7" t="s">
        <v>558</v>
      </c>
      <c r="B1021" s="15" t="s">
        <v>482</v>
      </c>
      <c r="C1021" s="7" t="s">
        <v>188</v>
      </c>
      <c r="D1021" s="7" t="s">
        <v>486</v>
      </c>
      <c r="N1021" s="7" t="s">
        <v>30</v>
      </c>
      <c r="O1021" s="16" t="s">
        <v>30</v>
      </c>
      <c r="T1021" s="7" t="s">
        <v>188</v>
      </c>
    </row>
    <row r="1022" spans="1:20" x14ac:dyDescent="0.25">
      <c r="A1022" s="7" t="s">
        <v>558</v>
      </c>
      <c r="B1022" s="15" t="s">
        <v>482</v>
      </c>
      <c r="C1022" s="7" t="s">
        <v>554</v>
      </c>
      <c r="D1022" s="7" t="s">
        <v>171</v>
      </c>
      <c r="N1022" s="7" t="s">
        <v>30</v>
      </c>
      <c r="T1022" s="7" t="s">
        <v>335</v>
      </c>
    </row>
    <row r="1023" spans="1:20" x14ac:dyDescent="0.25">
      <c r="A1023" s="7" t="s">
        <v>559</v>
      </c>
      <c r="B1023" s="15" t="s">
        <v>482</v>
      </c>
      <c r="C1023" s="7" t="s">
        <v>554</v>
      </c>
      <c r="D1023" s="7" t="s">
        <v>171</v>
      </c>
      <c r="N1023" s="7" t="s">
        <v>30</v>
      </c>
      <c r="O1023" s="16" t="s">
        <v>30</v>
      </c>
      <c r="T1023" s="7" t="s">
        <v>335</v>
      </c>
    </row>
    <row r="1024" spans="1:20" x14ac:dyDescent="0.25">
      <c r="A1024" s="7" t="s">
        <v>559</v>
      </c>
      <c r="B1024" s="15" t="s">
        <v>482</v>
      </c>
      <c r="C1024" s="7" t="s">
        <v>188</v>
      </c>
      <c r="D1024" s="7" t="s">
        <v>486</v>
      </c>
      <c r="N1024" s="7" t="s">
        <v>30</v>
      </c>
      <c r="T1024" s="7" t="s">
        <v>188</v>
      </c>
    </row>
    <row r="1025" spans="1:20" x14ac:dyDescent="0.25">
      <c r="A1025" s="7" t="s">
        <v>560</v>
      </c>
      <c r="B1025" s="15" t="s">
        <v>482</v>
      </c>
      <c r="C1025" s="7" t="s">
        <v>188</v>
      </c>
      <c r="D1025" s="7" t="s">
        <v>486</v>
      </c>
      <c r="N1025" s="7" t="s">
        <v>30</v>
      </c>
      <c r="O1025" s="16" t="s">
        <v>30</v>
      </c>
      <c r="T1025" s="7" t="s">
        <v>188</v>
      </c>
    </row>
    <row r="1026" spans="1:20" x14ac:dyDescent="0.25">
      <c r="A1026" s="7" t="s">
        <v>560</v>
      </c>
      <c r="B1026" s="15" t="s">
        <v>482</v>
      </c>
      <c r="C1026" s="7" t="s">
        <v>534</v>
      </c>
      <c r="D1026" s="7" t="s">
        <v>154</v>
      </c>
      <c r="N1026" s="7" t="s">
        <v>30</v>
      </c>
      <c r="T1026" s="7" t="s">
        <v>155</v>
      </c>
    </row>
    <row r="1027" spans="1:20" x14ac:dyDescent="0.25">
      <c r="A1027" s="7" t="s">
        <v>561</v>
      </c>
      <c r="B1027" s="15" t="s">
        <v>482</v>
      </c>
      <c r="C1027" s="7" t="s">
        <v>534</v>
      </c>
      <c r="D1027" s="7" t="s">
        <v>154</v>
      </c>
      <c r="N1027" s="7" t="s">
        <v>30</v>
      </c>
      <c r="O1027" s="16" t="s">
        <v>30</v>
      </c>
      <c r="T1027" s="7" t="s">
        <v>155</v>
      </c>
    </row>
    <row r="1028" spans="1:20" x14ac:dyDescent="0.25">
      <c r="A1028" s="7" t="s">
        <v>561</v>
      </c>
      <c r="B1028" s="15" t="s">
        <v>482</v>
      </c>
      <c r="C1028" s="7" t="s">
        <v>563</v>
      </c>
      <c r="D1028" s="7" t="s">
        <v>454</v>
      </c>
      <c r="N1028" s="7" t="s">
        <v>30</v>
      </c>
      <c r="T1028" s="7" t="s">
        <v>562</v>
      </c>
    </row>
    <row r="1029" spans="1:20" x14ac:dyDescent="0.25">
      <c r="A1029" s="7" t="s">
        <v>564</v>
      </c>
      <c r="B1029" s="15" t="s">
        <v>482</v>
      </c>
      <c r="C1029" s="7" t="s">
        <v>534</v>
      </c>
      <c r="D1029" s="7" t="s">
        <v>154</v>
      </c>
      <c r="N1029" s="7" t="s">
        <v>30</v>
      </c>
      <c r="O1029" s="16" t="s">
        <v>30</v>
      </c>
      <c r="T1029" s="7" t="s">
        <v>155</v>
      </c>
    </row>
    <row r="1030" spans="1:20" x14ac:dyDescent="0.25">
      <c r="A1030" s="7" t="s">
        <v>564</v>
      </c>
      <c r="B1030" s="15" t="s">
        <v>482</v>
      </c>
      <c r="C1030" s="7" t="s">
        <v>565</v>
      </c>
      <c r="D1030" s="7" t="s">
        <v>171</v>
      </c>
      <c r="N1030" s="7" t="s">
        <v>30</v>
      </c>
      <c r="T1030" s="7" t="s">
        <v>170</v>
      </c>
    </row>
    <row r="1031" spans="1:20" x14ac:dyDescent="0.25">
      <c r="A1031" s="7" t="s">
        <v>566</v>
      </c>
      <c r="B1031" s="15" t="s">
        <v>482</v>
      </c>
      <c r="C1031" s="7" t="s">
        <v>565</v>
      </c>
      <c r="D1031" s="7" t="s">
        <v>171</v>
      </c>
      <c r="N1031" s="7" t="s">
        <v>30</v>
      </c>
      <c r="O1031" s="16" t="s">
        <v>30</v>
      </c>
      <c r="T1031" s="7" t="s">
        <v>170</v>
      </c>
    </row>
    <row r="1032" spans="1:20" x14ac:dyDescent="0.25">
      <c r="A1032" s="7" t="s">
        <v>566</v>
      </c>
      <c r="B1032" s="15" t="s">
        <v>482</v>
      </c>
      <c r="C1032" s="7" t="s">
        <v>567</v>
      </c>
      <c r="D1032" s="7" t="s">
        <v>454</v>
      </c>
      <c r="N1032" s="7" t="s">
        <v>30</v>
      </c>
      <c r="T1032" s="7" t="s">
        <v>438</v>
      </c>
    </row>
    <row r="1033" spans="1:20" x14ac:dyDescent="0.25">
      <c r="A1033" s="7" t="s">
        <v>568</v>
      </c>
      <c r="B1033" s="15" t="s">
        <v>482</v>
      </c>
      <c r="C1033" s="7" t="s">
        <v>534</v>
      </c>
      <c r="D1033" s="7" t="s">
        <v>154</v>
      </c>
      <c r="N1033" s="7" t="s">
        <v>30</v>
      </c>
      <c r="O1033" s="16" t="s">
        <v>30</v>
      </c>
      <c r="T1033" s="7" t="s">
        <v>155</v>
      </c>
    </row>
    <row r="1034" spans="1:20" x14ac:dyDescent="0.25">
      <c r="A1034" s="7" t="s">
        <v>568</v>
      </c>
      <c r="B1034" s="15" t="s">
        <v>482</v>
      </c>
      <c r="C1034" s="7" t="s">
        <v>188</v>
      </c>
      <c r="D1034" s="7" t="s">
        <v>486</v>
      </c>
      <c r="N1034" s="7" t="s">
        <v>30</v>
      </c>
      <c r="T1034" s="7" t="s">
        <v>188</v>
      </c>
    </row>
    <row r="1035" spans="1:20" x14ac:dyDescent="0.25">
      <c r="A1035" s="7" t="s">
        <v>569</v>
      </c>
      <c r="B1035" s="15" t="s">
        <v>482</v>
      </c>
      <c r="C1035" s="7" t="s">
        <v>534</v>
      </c>
      <c r="D1035" s="7" t="s">
        <v>154</v>
      </c>
      <c r="N1035" s="7" t="s">
        <v>30</v>
      </c>
      <c r="O1035" s="16" t="s">
        <v>30</v>
      </c>
      <c r="T1035" s="7" t="s">
        <v>155</v>
      </c>
    </row>
    <row r="1036" spans="1:20" x14ac:dyDescent="0.25">
      <c r="A1036" s="7" t="s">
        <v>569</v>
      </c>
      <c r="B1036" s="15" t="s">
        <v>482</v>
      </c>
      <c r="C1036" s="7" t="s">
        <v>563</v>
      </c>
      <c r="D1036" s="7" t="s">
        <v>454</v>
      </c>
      <c r="N1036" s="7" t="s">
        <v>30</v>
      </c>
      <c r="T1036" s="7" t="s">
        <v>562</v>
      </c>
    </row>
    <row r="1037" spans="1:20" x14ac:dyDescent="0.25">
      <c r="A1037" s="7" t="s">
        <v>570</v>
      </c>
      <c r="B1037" s="15" t="s">
        <v>482</v>
      </c>
      <c r="C1037" s="7" t="s">
        <v>188</v>
      </c>
      <c r="D1037" s="7" t="s">
        <v>486</v>
      </c>
      <c r="N1037" s="7" t="s">
        <v>30</v>
      </c>
      <c r="O1037" s="16" t="s">
        <v>30</v>
      </c>
      <c r="T1037" s="7" t="s">
        <v>188</v>
      </c>
    </row>
    <row r="1038" spans="1:20" x14ac:dyDescent="0.25">
      <c r="A1038" s="7" t="s">
        <v>570</v>
      </c>
      <c r="B1038" s="15" t="s">
        <v>482</v>
      </c>
      <c r="C1038" s="7" t="s">
        <v>534</v>
      </c>
      <c r="D1038" s="7" t="s">
        <v>154</v>
      </c>
      <c r="N1038" s="7" t="s">
        <v>30</v>
      </c>
      <c r="T1038" s="7" t="s">
        <v>155</v>
      </c>
    </row>
    <row r="1039" spans="1:20" x14ac:dyDescent="0.25">
      <c r="A1039" s="7" t="s">
        <v>572</v>
      </c>
      <c r="B1039" s="15" t="s">
        <v>482</v>
      </c>
      <c r="C1039" s="7" t="s">
        <v>573</v>
      </c>
      <c r="D1039" s="7" t="s">
        <v>486</v>
      </c>
      <c r="N1039" s="7" t="s">
        <v>30</v>
      </c>
      <c r="O1039" s="16" t="s">
        <v>30</v>
      </c>
      <c r="T1039" s="7" t="s">
        <v>571</v>
      </c>
    </row>
    <row r="1040" spans="1:20" x14ac:dyDescent="0.25">
      <c r="A1040" s="7" t="s">
        <v>572</v>
      </c>
      <c r="B1040" s="15" t="s">
        <v>482</v>
      </c>
      <c r="C1040" s="7" t="s">
        <v>534</v>
      </c>
      <c r="D1040" s="7" t="s">
        <v>154</v>
      </c>
      <c r="N1040" s="7" t="s">
        <v>30</v>
      </c>
      <c r="T1040" s="7" t="s">
        <v>155</v>
      </c>
    </row>
    <row r="1041" spans="1:20" x14ac:dyDescent="0.25">
      <c r="A1041" s="7" t="s">
        <v>574</v>
      </c>
      <c r="B1041" s="15" t="s">
        <v>482</v>
      </c>
      <c r="C1041" s="7" t="s">
        <v>188</v>
      </c>
      <c r="D1041" s="7" t="s">
        <v>486</v>
      </c>
      <c r="N1041" s="7" t="s">
        <v>30</v>
      </c>
      <c r="O1041" s="16" t="s">
        <v>30</v>
      </c>
      <c r="T1041" s="7" t="s">
        <v>188</v>
      </c>
    </row>
    <row r="1042" spans="1:20" x14ac:dyDescent="0.25">
      <c r="A1042" s="7" t="s">
        <v>574</v>
      </c>
      <c r="B1042" s="15" t="s">
        <v>482</v>
      </c>
      <c r="C1042" s="7" t="s">
        <v>575</v>
      </c>
      <c r="D1042" s="7" t="s">
        <v>424</v>
      </c>
      <c r="N1042" s="7" t="s">
        <v>30</v>
      </c>
      <c r="T1042" s="7" t="s">
        <v>575</v>
      </c>
    </row>
    <row r="1043" spans="1:20" x14ac:dyDescent="0.25">
      <c r="A1043" s="7" t="s">
        <v>576</v>
      </c>
      <c r="B1043" s="15" t="s">
        <v>482</v>
      </c>
      <c r="C1043" s="7" t="s">
        <v>575</v>
      </c>
      <c r="D1043" s="7" t="s">
        <v>486</v>
      </c>
      <c r="N1043" s="7" t="s">
        <v>30</v>
      </c>
      <c r="O1043" s="16" t="s">
        <v>30</v>
      </c>
      <c r="T1043" s="7" t="s">
        <v>575</v>
      </c>
    </row>
    <row r="1044" spans="1:20" x14ac:dyDescent="0.25">
      <c r="A1044" s="7" t="s">
        <v>576</v>
      </c>
      <c r="B1044" s="15" t="s">
        <v>482</v>
      </c>
      <c r="C1044" s="7" t="s">
        <v>571</v>
      </c>
      <c r="D1044" s="7" t="s">
        <v>486</v>
      </c>
      <c r="N1044" s="7" t="s">
        <v>30</v>
      </c>
      <c r="T1044" s="7" t="s">
        <v>571</v>
      </c>
    </row>
    <row r="1045" spans="1:20" x14ac:dyDescent="0.25">
      <c r="A1045" s="7" t="s">
        <v>577</v>
      </c>
      <c r="B1045" s="15" t="s">
        <v>482</v>
      </c>
      <c r="C1045" s="7" t="s">
        <v>575</v>
      </c>
      <c r="D1045" s="7" t="s">
        <v>486</v>
      </c>
      <c r="N1045" s="7" t="s">
        <v>30</v>
      </c>
      <c r="O1045" s="16" t="s">
        <v>30</v>
      </c>
      <c r="T1045" s="7" t="s">
        <v>575</v>
      </c>
    </row>
    <row r="1046" spans="1:20" x14ac:dyDescent="0.25">
      <c r="A1046" s="7" t="s">
        <v>577</v>
      </c>
      <c r="B1046" s="15" t="s">
        <v>482</v>
      </c>
      <c r="C1046" s="7" t="s">
        <v>579</v>
      </c>
      <c r="D1046" s="7" t="s">
        <v>368</v>
      </c>
      <c r="N1046" s="7" t="s">
        <v>30</v>
      </c>
      <c r="T1046" s="7" t="s">
        <v>578</v>
      </c>
    </row>
    <row r="1047" spans="1:20" x14ac:dyDescent="0.25">
      <c r="A1047" s="7" t="s">
        <v>580</v>
      </c>
      <c r="B1047" s="15" t="s">
        <v>482</v>
      </c>
      <c r="C1047" s="7" t="s">
        <v>575</v>
      </c>
      <c r="D1047" s="7" t="s">
        <v>486</v>
      </c>
      <c r="N1047" s="7" t="s">
        <v>30</v>
      </c>
      <c r="O1047" s="16" t="s">
        <v>30</v>
      </c>
      <c r="T1047" s="7" t="s">
        <v>575</v>
      </c>
    </row>
    <row r="1048" spans="1:20" x14ac:dyDescent="0.25">
      <c r="A1048" s="7" t="s">
        <v>580</v>
      </c>
      <c r="B1048" s="15" t="s">
        <v>482</v>
      </c>
      <c r="C1048" s="7" t="s">
        <v>579</v>
      </c>
      <c r="D1048" s="7" t="s">
        <v>368</v>
      </c>
      <c r="N1048" s="7" t="s">
        <v>30</v>
      </c>
      <c r="T1048" s="7" t="s">
        <v>578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3733-C3E7-4218-BD15-769396DC8634}">
  <dimension ref="A1:H178"/>
  <sheetViews>
    <sheetView topLeftCell="A154" workbookViewId="0">
      <selection activeCell="E166" sqref="E166"/>
    </sheetView>
  </sheetViews>
  <sheetFormatPr defaultRowHeight="15" x14ac:dyDescent="0.25"/>
  <cols>
    <col min="1" max="1" width="41.85546875" customWidth="1"/>
    <col min="2" max="2" width="14.28515625" customWidth="1"/>
    <col min="3" max="3" width="11.42578125" style="2" customWidth="1"/>
    <col min="4" max="4" width="32.42578125" customWidth="1"/>
    <col min="5" max="5" width="19" style="2" customWidth="1"/>
    <col min="6" max="6" width="34.28515625" customWidth="1"/>
    <col min="7" max="8" width="38.140625" customWidth="1"/>
  </cols>
  <sheetData>
    <row r="1" spans="1:8" x14ac:dyDescent="0.25">
      <c r="A1" s="1" t="s">
        <v>134</v>
      </c>
      <c r="B1" s="1" t="s">
        <v>654</v>
      </c>
      <c r="C1" s="17" t="s">
        <v>27</v>
      </c>
      <c r="D1" s="19" t="s">
        <v>655</v>
      </c>
      <c r="E1" s="17" t="s">
        <v>592</v>
      </c>
      <c r="F1" s="19" t="s">
        <v>656</v>
      </c>
      <c r="G1" s="20" t="s">
        <v>689</v>
      </c>
      <c r="H1" s="20" t="s">
        <v>690</v>
      </c>
    </row>
    <row r="2" spans="1:8" x14ac:dyDescent="0.25">
      <c r="A2" t="s">
        <v>659</v>
      </c>
      <c r="B2" t="s">
        <v>376</v>
      </c>
      <c r="C2" s="18">
        <v>1971</v>
      </c>
      <c r="D2" t="s">
        <v>674</v>
      </c>
      <c r="E2" s="22" t="s">
        <v>612</v>
      </c>
      <c r="F2" s="21" t="s">
        <v>630</v>
      </c>
      <c r="G2" t="s">
        <v>674</v>
      </c>
      <c r="H2" s="21" t="s">
        <v>630</v>
      </c>
    </row>
    <row r="3" spans="1:8" x14ac:dyDescent="0.25">
      <c r="A3" t="s">
        <v>659</v>
      </c>
      <c r="B3" t="s">
        <v>376</v>
      </c>
      <c r="C3" s="18">
        <v>1972</v>
      </c>
      <c r="D3" t="s">
        <v>674</v>
      </c>
      <c r="E3" s="22" t="s">
        <v>615</v>
      </c>
      <c r="F3" s="21" t="s">
        <v>631</v>
      </c>
      <c r="G3" t="s">
        <v>674</v>
      </c>
      <c r="H3" s="21" t="s">
        <v>631</v>
      </c>
    </row>
    <row r="4" spans="1:8" x14ac:dyDescent="0.25">
      <c r="A4" t="s">
        <v>659</v>
      </c>
      <c r="B4" t="s">
        <v>376</v>
      </c>
      <c r="C4" s="18">
        <v>1973</v>
      </c>
      <c r="D4" t="s">
        <v>674</v>
      </c>
      <c r="E4" s="22" t="s">
        <v>594</v>
      </c>
      <c r="F4" s="21" t="s">
        <v>632</v>
      </c>
      <c r="G4" t="s">
        <v>674</v>
      </c>
      <c r="H4" s="21" t="s">
        <v>632</v>
      </c>
    </row>
    <row r="5" spans="1:8" x14ac:dyDescent="0.25">
      <c r="A5" t="s">
        <v>659</v>
      </c>
      <c r="B5" t="s">
        <v>376</v>
      </c>
      <c r="C5" s="18">
        <v>1974</v>
      </c>
      <c r="D5" s="21" t="s">
        <v>633</v>
      </c>
      <c r="E5" s="22" t="s">
        <v>610</v>
      </c>
      <c r="F5" t="s">
        <v>674</v>
      </c>
      <c r="G5" s="21" t="s">
        <v>633</v>
      </c>
      <c r="H5" t="s">
        <v>674</v>
      </c>
    </row>
    <row r="6" spans="1:8" x14ac:dyDescent="0.25">
      <c r="A6" t="s">
        <v>659</v>
      </c>
      <c r="B6" t="s">
        <v>376</v>
      </c>
      <c r="C6" s="18">
        <v>1975</v>
      </c>
      <c r="D6" s="21" t="s">
        <v>629</v>
      </c>
      <c r="E6" s="22" t="s">
        <v>634</v>
      </c>
      <c r="F6" s="21" t="s">
        <v>635</v>
      </c>
      <c r="G6" t="s">
        <v>674</v>
      </c>
      <c r="H6" s="21" t="s">
        <v>635</v>
      </c>
    </row>
    <row r="7" spans="1:8" x14ac:dyDescent="0.25">
      <c r="A7" t="s">
        <v>659</v>
      </c>
      <c r="B7" t="s">
        <v>376</v>
      </c>
      <c r="C7" s="18">
        <v>1976</v>
      </c>
      <c r="D7" s="21" t="s">
        <v>629</v>
      </c>
      <c r="E7" s="22" t="s">
        <v>636</v>
      </c>
      <c r="F7" s="21" t="s">
        <v>700</v>
      </c>
      <c r="G7" t="s">
        <v>674</v>
      </c>
      <c r="H7" s="21" t="s">
        <v>700</v>
      </c>
    </row>
    <row r="8" spans="1:8" x14ac:dyDescent="0.25">
      <c r="A8" t="s">
        <v>659</v>
      </c>
      <c r="B8" t="s">
        <v>376</v>
      </c>
      <c r="C8" s="18">
        <v>1977</v>
      </c>
      <c r="D8" s="21" t="s">
        <v>700</v>
      </c>
      <c r="E8" s="22" t="s">
        <v>608</v>
      </c>
      <c r="F8" t="s">
        <v>674</v>
      </c>
      <c r="G8" s="21" t="s">
        <v>700</v>
      </c>
      <c r="H8" t="s">
        <v>674</v>
      </c>
    </row>
    <row r="9" spans="1:8" x14ac:dyDescent="0.25">
      <c r="A9" t="s">
        <v>659</v>
      </c>
      <c r="B9" t="s">
        <v>376</v>
      </c>
      <c r="C9" s="18">
        <v>1978</v>
      </c>
      <c r="D9" s="21" t="s">
        <v>629</v>
      </c>
      <c r="E9" s="22" t="s">
        <v>637</v>
      </c>
      <c r="F9" s="21" t="s">
        <v>700</v>
      </c>
      <c r="G9" t="s">
        <v>674</v>
      </c>
      <c r="H9" s="21" t="s">
        <v>700</v>
      </c>
    </row>
    <row r="10" spans="1:8" x14ac:dyDescent="0.25">
      <c r="A10" t="s">
        <v>659</v>
      </c>
      <c r="B10" t="s">
        <v>376</v>
      </c>
      <c r="C10" s="18">
        <v>1979</v>
      </c>
      <c r="D10" t="s">
        <v>674</v>
      </c>
      <c r="E10" s="22" t="s">
        <v>608</v>
      </c>
      <c r="F10" s="21" t="s">
        <v>638</v>
      </c>
      <c r="G10" t="s">
        <v>674</v>
      </c>
      <c r="H10" s="21" t="s">
        <v>638</v>
      </c>
    </row>
    <row r="11" spans="1:8" x14ac:dyDescent="0.25">
      <c r="A11" t="s">
        <v>659</v>
      </c>
      <c r="B11" t="s">
        <v>376</v>
      </c>
      <c r="C11" s="18">
        <v>1980</v>
      </c>
      <c r="D11" s="21" t="s">
        <v>639</v>
      </c>
      <c r="E11" s="22" t="s">
        <v>608</v>
      </c>
      <c r="F11" s="21" t="s">
        <v>640</v>
      </c>
      <c r="G11" s="21" t="s">
        <v>639</v>
      </c>
      <c r="H11" s="21" t="s">
        <v>640</v>
      </c>
    </row>
    <row r="12" spans="1:8" x14ac:dyDescent="0.25">
      <c r="A12" t="s">
        <v>659</v>
      </c>
      <c r="B12" t="s">
        <v>376</v>
      </c>
      <c r="C12" s="18">
        <v>1981</v>
      </c>
      <c r="D12" t="s">
        <v>674</v>
      </c>
      <c r="E12" s="22" t="s">
        <v>634</v>
      </c>
      <c r="F12" s="21" t="s">
        <v>639</v>
      </c>
      <c r="G12" t="s">
        <v>674</v>
      </c>
      <c r="H12" s="21" t="s">
        <v>639</v>
      </c>
    </row>
    <row r="13" spans="1:8" x14ac:dyDescent="0.25">
      <c r="A13" t="s">
        <v>659</v>
      </c>
      <c r="B13" t="s">
        <v>376</v>
      </c>
      <c r="C13" s="18">
        <v>1982</v>
      </c>
      <c r="D13" s="21" t="s">
        <v>638</v>
      </c>
      <c r="E13" s="22" t="s">
        <v>594</v>
      </c>
      <c r="F13" s="21" t="s">
        <v>641</v>
      </c>
      <c r="G13" s="21" t="s">
        <v>638</v>
      </c>
      <c r="H13" s="21" t="s">
        <v>641</v>
      </c>
    </row>
    <row r="14" spans="1:8" x14ac:dyDescent="0.25">
      <c r="A14" t="s">
        <v>659</v>
      </c>
      <c r="B14" t="s">
        <v>376</v>
      </c>
      <c r="C14" s="18">
        <v>1983</v>
      </c>
      <c r="D14" s="21" t="s">
        <v>585</v>
      </c>
      <c r="E14" s="22" t="s">
        <v>615</v>
      </c>
      <c r="F14" s="21" t="s">
        <v>639</v>
      </c>
      <c r="G14" s="21" t="s">
        <v>585</v>
      </c>
      <c r="H14" s="21" t="s">
        <v>639</v>
      </c>
    </row>
    <row r="15" spans="1:8" x14ac:dyDescent="0.25">
      <c r="A15" t="s">
        <v>659</v>
      </c>
      <c r="B15" t="s">
        <v>376</v>
      </c>
      <c r="C15" s="18">
        <v>1984</v>
      </c>
      <c r="D15" s="21" t="s">
        <v>642</v>
      </c>
      <c r="E15" s="22" t="s">
        <v>634</v>
      </c>
      <c r="F15" s="21" t="s">
        <v>585</v>
      </c>
      <c r="G15" s="21" t="s">
        <v>642</v>
      </c>
      <c r="H15" s="21" t="s">
        <v>585</v>
      </c>
    </row>
    <row r="16" spans="1:8" x14ac:dyDescent="0.25">
      <c r="A16" t="s">
        <v>659</v>
      </c>
      <c r="B16" t="s">
        <v>376</v>
      </c>
      <c r="C16" s="18">
        <v>1985</v>
      </c>
      <c r="D16" s="21" t="s">
        <v>643</v>
      </c>
      <c r="E16" s="22" t="s">
        <v>594</v>
      </c>
      <c r="F16" s="21" t="s">
        <v>585</v>
      </c>
      <c r="G16" s="21" t="s">
        <v>643</v>
      </c>
      <c r="H16" s="21" t="s">
        <v>585</v>
      </c>
    </row>
    <row r="17" spans="1:8" x14ac:dyDescent="0.25">
      <c r="A17" t="s">
        <v>659</v>
      </c>
      <c r="B17" t="s">
        <v>376</v>
      </c>
      <c r="C17" s="18">
        <v>1986</v>
      </c>
      <c r="D17" s="21" t="s">
        <v>701</v>
      </c>
      <c r="E17" s="22" t="s">
        <v>609</v>
      </c>
      <c r="F17" s="21" t="s">
        <v>585</v>
      </c>
      <c r="G17" s="21" t="s">
        <v>701</v>
      </c>
      <c r="H17" s="21" t="s">
        <v>585</v>
      </c>
    </row>
    <row r="18" spans="1:8" x14ac:dyDescent="0.25">
      <c r="A18" t="s">
        <v>659</v>
      </c>
      <c r="B18" t="s">
        <v>376</v>
      </c>
      <c r="C18" s="18">
        <v>1987</v>
      </c>
      <c r="D18" s="21" t="s">
        <v>585</v>
      </c>
      <c r="E18" s="22" t="s">
        <v>594</v>
      </c>
      <c r="F18" s="21" t="s">
        <v>639</v>
      </c>
      <c r="G18" s="21" t="s">
        <v>585</v>
      </c>
      <c r="H18" s="21" t="s">
        <v>639</v>
      </c>
    </row>
    <row r="19" spans="1:8" x14ac:dyDescent="0.25">
      <c r="A19" t="s">
        <v>659</v>
      </c>
      <c r="B19" t="s">
        <v>376</v>
      </c>
      <c r="C19" s="18">
        <v>1988</v>
      </c>
      <c r="D19" s="21" t="s">
        <v>585</v>
      </c>
      <c r="E19" s="22" t="s">
        <v>613</v>
      </c>
      <c r="F19" s="21" t="s">
        <v>644</v>
      </c>
      <c r="G19" s="21" t="s">
        <v>585</v>
      </c>
      <c r="H19" s="21" t="s">
        <v>644</v>
      </c>
    </row>
    <row r="20" spans="1:8" x14ac:dyDescent="0.25">
      <c r="A20" t="s">
        <v>659</v>
      </c>
      <c r="B20" t="s">
        <v>376</v>
      </c>
      <c r="C20" s="18">
        <v>1989</v>
      </c>
      <c r="D20" s="21" t="s">
        <v>644</v>
      </c>
      <c r="E20" s="22" t="s">
        <v>615</v>
      </c>
      <c r="F20" s="21" t="s">
        <v>643</v>
      </c>
      <c r="G20" s="21" t="s">
        <v>644</v>
      </c>
      <c r="H20" s="21" t="s">
        <v>643</v>
      </c>
    </row>
    <row r="21" spans="1:8" x14ac:dyDescent="0.25">
      <c r="A21" t="s">
        <v>659</v>
      </c>
      <c r="B21" t="s">
        <v>376</v>
      </c>
      <c r="C21" s="18">
        <v>1990</v>
      </c>
      <c r="D21" s="21" t="s">
        <v>585</v>
      </c>
      <c r="E21" s="22" t="s">
        <v>608</v>
      </c>
      <c r="F21" s="21" t="s">
        <v>643</v>
      </c>
      <c r="G21" s="21" t="s">
        <v>585</v>
      </c>
      <c r="H21" s="21" t="s">
        <v>643</v>
      </c>
    </row>
    <row r="22" spans="1:8" x14ac:dyDescent="0.25">
      <c r="A22" t="s">
        <v>659</v>
      </c>
      <c r="B22" t="s">
        <v>376</v>
      </c>
      <c r="C22" s="18">
        <v>1991</v>
      </c>
      <c r="D22" s="21" t="s">
        <v>645</v>
      </c>
      <c r="E22" s="22" t="s">
        <v>608</v>
      </c>
      <c r="F22" s="21" t="s">
        <v>585</v>
      </c>
      <c r="G22" s="21" t="s">
        <v>645</v>
      </c>
      <c r="H22" s="21" t="s">
        <v>585</v>
      </c>
    </row>
    <row r="23" spans="1:8" x14ac:dyDescent="0.25">
      <c r="A23" t="s">
        <v>659</v>
      </c>
      <c r="B23" t="s">
        <v>376</v>
      </c>
      <c r="C23" s="18">
        <v>1992</v>
      </c>
      <c r="D23" s="21" t="s">
        <v>585</v>
      </c>
      <c r="E23" s="22" t="s">
        <v>614</v>
      </c>
      <c r="F23" s="21" t="s">
        <v>586</v>
      </c>
      <c r="G23" s="21" t="s">
        <v>585</v>
      </c>
      <c r="H23" s="21" t="s">
        <v>586</v>
      </c>
    </row>
    <row r="24" spans="1:8" x14ac:dyDescent="0.25">
      <c r="A24" t="s">
        <v>702</v>
      </c>
      <c r="B24" t="s">
        <v>376</v>
      </c>
      <c r="C24" s="18">
        <v>1992</v>
      </c>
      <c r="D24" s="21" t="s">
        <v>585</v>
      </c>
      <c r="E24" s="22"/>
      <c r="F24" s="21" t="s">
        <v>586</v>
      </c>
      <c r="G24" s="21" t="s">
        <v>585</v>
      </c>
      <c r="H24" s="21" t="s">
        <v>586</v>
      </c>
    </row>
    <row r="25" spans="1:8" x14ac:dyDescent="0.25">
      <c r="A25" t="s">
        <v>659</v>
      </c>
      <c r="B25" t="s">
        <v>376</v>
      </c>
      <c r="C25" s="18">
        <v>1993</v>
      </c>
      <c r="D25" s="21" t="s">
        <v>587</v>
      </c>
      <c r="E25" s="22" t="s">
        <v>617</v>
      </c>
      <c r="F25" s="21" t="s">
        <v>585</v>
      </c>
      <c r="G25" t="s">
        <v>667</v>
      </c>
      <c r="H25" s="21" t="s">
        <v>585</v>
      </c>
    </row>
    <row r="26" spans="1:8" x14ac:dyDescent="0.25">
      <c r="A26" t="s">
        <v>702</v>
      </c>
      <c r="B26" t="s">
        <v>376</v>
      </c>
      <c r="C26" s="18">
        <v>1993</v>
      </c>
      <c r="D26" t="s">
        <v>667</v>
      </c>
      <c r="E26" s="22"/>
      <c r="F26" s="21" t="s">
        <v>585</v>
      </c>
      <c r="G26" t="s">
        <v>667</v>
      </c>
      <c r="H26" s="21" t="s">
        <v>585</v>
      </c>
    </row>
    <row r="27" spans="1:8" x14ac:dyDescent="0.25">
      <c r="A27" t="s">
        <v>659</v>
      </c>
      <c r="B27" t="s">
        <v>376</v>
      </c>
      <c r="C27" s="18">
        <v>1994</v>
      </c>
      <c r="D27" s="21" t="s">
        <v>585</v>
      </c>
      <c r="E27" s="22" t="s">
        <v>608</v>
      </c>
      <c r="F27" s="21" t="s">
        <v>646</v>
      </c>
      <c r="G27" s="21" t="s">
        <v>585</v>
      </c>
      <c r="H27" s="21" t="s">
        <v>646</v>
      </c>
    </row>
    <row r="28" spans="1:8" x14ac:dyDescent="0.25">
      <c r="A28" t="s">
        <v>702</v>
      </c>
      <c r="B28" t="s">
        <v>376</v>
      </c>
      <c r="C28" s="18">
        <v>1994</v>
      </c>
      <c r="D28" s="21" t="s">
        <v>585</v>
      </c>
      <c r="E28" s="22"/>
      <c r="F28" t="s">
        <v>667</v>
      </c>
      <c r="G28" s="21" t="s">
        <v>585</v>
      </c>
      <c r="H28" t="s">
        <v>667</v>
      </c>
    </row>
    <row r="29" spans="1:8" x14ac:dyDescent="0.25">
      <c r="A29" t="s">
        <v>659</v>
      </c>
      <c r="B29" t="s">
        <v>376</v>
      </c>
      <c r="C29" s="18">
        <v>1995</v>
      </c>
      <c r="D29" s="21" t="s">
        <v>587</v>
      </c>
      <c r="E29" s="22" t="s">
        <v>615</v>
      </c>
      <c r="F29" s="21" t="s">
        <v>588</v>
      </c>
      <c r="G29" t="s">
        <v>667</v>
      </c>
      <c r="H29" t="s">
        <v>671</v>
      </c>
    </row>
    <row r="30" spans="1:8" x14ac:dyDescent="0.25">
      <c r="A30" t="s">
        <v>702</v>
      </c>
      <c r="B30" t="s">
        <v>376</v>
      </c>
      <c r="C30" s="18">
        <v>1995</v>
      </c>
      <c r="D30" t="s">
        <v>667</v>
      </c>
      <c r="E30" s="22"/>
      <c r="F30" t="s">
        <v>671</v>
      </c>
      <c r="G30" t="s">
        <v>667</v>
      </c>
      <c r="H30" t="s">
        <v>671</v>
      </c>
    </row>
    <row r="31" spans="1:8" x14ac:dyDescent="0.25">
      <c r="A31" t="s">
        <v>659</v>
      </c>
      <c r="B31" t="s">
        <v>376</v>
      </c>
      <c r="C31" s="18">
        <v>1996</v>
      </c>
      <c r="D31" s="21" t="s">
        <v>694</v>
      </c>
      <c r="E31" s="22" t="s">
        <v>647</v>
      </c>
      <c r="F31" s="21" t="s">
        <v>588</v>
      </c>
      <c r="G31" t="s">
        <v>675</v>
      </c>
      <c r="H31" t="s">
        <v>671</v>
      </c>
    </row>
    <row r="32" spans="1:8" x14ac:dyDescent="0.25">
      <c r="A32" t="s">
        <v>702</v>
      </c>
      <c r="B32" t="s">
        <v>376</v>
      </c>
      <c r="C32" s="18">
        <v>1996</v>
      </c>
      <c r="D32" s="21" t="s">
        <v>694</v>
      </c>
      <c r="E32" s="22"/>
      <c r="F32" s="21" t="s">
        <v>585</v>
      </c>
      <c r="G32" t="s">
        <v>675</v>
      </c>
      <c r="H32" s="21" t="s">
        <v>585</v>
      </c>
    </row>
    <row r="33" spans="1:8" x14ac:dyDescent="0.25">
      <c r="A33" t="s">
        <v>659</v>
      </c>
      <c r="B33" t="s">
        <v>376</v>
      </c>
      <c r="C33" s="18">
        <v>1997</v>
      </c>
      <c r="D33" s="21" t="s">
        <v>645</v>
      </c>
      <c r="E33" s="22" t="s">
        <v>608</v>
      </c>
      <c r="F33" s="21" t="s">
        <v>699</v>
      </c>
      <c r="G33" s="21" t="s">
        <v>645</v>
      </c>
      <c r="H33" s="21" t="s">
        <v>698</v>
      </c>
    </row>
    <row r="34" spans="1:8" x14ac:dyDescent="0.25">
      <c r="A34" t="s">
        <v>702</v>
      </c>
      <c r="B34" t="s">
        <v>376</v>
      </c>
      <c r="C34" s="18">
        <v>1997</v>
      </c>
      <c r="D34" t="s">
        <v>667</v>
      </c>
      <c r="E34" s="22"/>
      <c r="F34" s="21" t="s">
        <v>585</v>
      </c>
      <c r="G34" t="s">
        <v>667</v>
      </c>
      <c r="H34" s="21" t="s">
        <v>585</v>
      </c>
    </row>
    <row r="35" spans="1:8" x14ac:dyDescent="0.25">
      <c r="A35" t="s">
        <v>659</v>
      </c>
      <c r="B35" t="s">
        <v>376</v>
      </c>
      <c r="C35" s="18">
        <v>1998</v>
      </c>
      <c r="D35" s="21" t="s">
        <v>587</v>
      </c>
      <c r="E35" s="22" t="s">
        <v>615</v>
      </c>
      <c r="F35" s="21" t="s">
        <v>694</v>
      </c>
      <c r="G35" t="s">
        <v>667</v>
      </c>
      <c r="H35" t="s">
        <v>675</v>
      </c>
    </row>
    <row r="36" spans="1:8" x14ac:dyDescent="0.25">
      <c r="A36" t="s">
        <v>702</v>
      </c>
      <c r="B36" t="s">
        <v>376</v>
      </c>
      <c r="C36" s="18">
        <v>1998</v>
      </c>
      <c r="D36" t="s">
        <v>670</v>
      </c>
      <c r="E36" s="22"/>
      <c r="F36" t="s">
        <v>667</v>
      </c>
      <c r="G36" t="s">
        <v>670</v>
      </c>
      <c r="H36" t="s">
        <v>667</v>
      </c>
    </row>
    <row r="37" spans="1:8" x14ac:dyDescent="0.25">
      <c r="A37" t="s">
        <v>659</v>
      </c>
      <c r="B37" t="s">
        <v>376</v>
      </c>
      <c r="C37" s="18">
        <v>1999</v>
      </c>
      <c r="D37" s="21" t="s">
        <v>587</v>
      </c>
      <c r="E37" s="22" t="s">
        <v>594</v>
      </c>
      <c r="F37" s="21" t="s">
        <v>648</v>
      </c>
      <c r="G37" t="s">
        <v>667</v>
      </c>
      <c r="H37" s="21" t="s">
        <v>648</v>
      </c>
    </row>
    <row r="38" spans="1:8" x14ac:dyDescent="0.25">
      <c r="A38" t="s">
        <v>702</v>
      </c>
      <c r="B38" t="s">
        <v>376</v>
      </c>
      <c r="C38" s="18">
        <v>1999</v>
      </c>
      <c r="D38" s="21" t="s">
        <v>694</v>
      </c>
      <c r="E38" s="22"/>
      <c r="F38" t="s">
        <v>667</v>
      </c>
      <c r="G38" t="s">
        <v>675</v>
      </c>
      <c r="H38" t="s">
        <v>667</v>
      </c>
    </row>
    <row r="39" spans="1:8" x14ac:dyDescent="0.25">
      <c r="A39" t="s">
        <v>659</v>
      </c>
      <c r="B39" t="s">
        <v>376</v>
      </c>
      <c r="C39" s="18">
        <v>2000</v>
      </c>
      <c r="D39" s="21" t="s">
        <v>694</v>
      </c>
      <c r="E39" s="22" t="s">
        <v>610</v>
      </c>
      <c r="F39" s="21" t="s">
        <v>585</v>
      </c>
      <c r="G39" t="s">
        <v>675</v>
      </c>
      <c r="H39" s="21" t="s">
        <v>585</v>
      </c>
    </row>
    <row r="40" spans="1:8" x14ac:dyDescent="0.25">
      <c r="A40" t="s">
        <v>702</v>
      </c>
      <c r="B40" t="s">
        <v>376</v>
      </c>
      <c r="C40" s="18">
        <v>2000</v>
      </c>
      <c r="D40" s="21" t="s">
        <v>694</v>
      </c>
      <c r="E40" s="22"/>
      <c r="F40" s="21" t="s">
        <v>585</v>
      </c>
      <c r="G40" t="s">
        <v>675</v>
      </c>
      <c r="H40" s="21" t="s">
        <v>585</v>
      </c>
    </row>
    <row r="41" spans="1:8" x14ac:dyDescent="0.25">
      <c r="A41" t="s">
        <v>659</v>
      </c>
      <c r="B41" t="s">
        <v>376</v>
      </c>
      <c r="C41" s="18">
        <v>2001</v>
      </c>
      <c r="D41" s="21" t="s">
        <v>587</v>
      </c>
      <c r="E41" s="22" t="s">
        <v>608</v>
      </c>
      <c r="F41" s="21" t="s">
        <v>589</v>
      </c>
      <c r="G41" t="s">
        <v>667</v>
      </c>
      <c r="H41" s="21" t="s">
        <v>695</v>
      </c>
    </row>
    <row r="42" spans="1:8" x14ac:dyDescent="0.25">
      <c r="A42" t="s">
        <v>702</v>
      </c>
      <c r="B42" t="s">
        <v>376</v>
      </c>
      <c r="C42" s="18">
        <v>2001</v>
      </c>
      <c r="D42" t="s">
        <v>667</v>
      </c>
      <c r="E42" s="22"/>
      <c r="F42" s="21" t="s">
        <v>585</v>
      </c>
      <c r="G42" t="s">
        <v>667</v>
      </c>
      <c r="H42" s="21" t="s">
        <v>585</v>
      </c>
    </row>
    <row r="43" spans="1:8" x14ac:dyDescent="0.25">
      <c r="A43" t="s">
        <v>659</v>
      </c>
      <c r="B43" t="s">
        <v>376</v>
      </c>
      <c r="C43" s="18">
        <v>2002</v>
      </c>
      <c r="D43" s="21" t="s">
        <v>695</v>
      </c>
      <c r="E43" s="22" t="s">
        <v>610</v>
      </c>
      <c r="F43" s="21" t="s">
        <v>585</v>
      </c>
      <c r="G43" s="21" t="s">
        <v>695</v>
      </c>
      <c r="H43" s="21" t="s">
        <v>585</v>
      </c>
    </row>
    <row r="44" spans="1:8" x14ac:dyDescent="0.25">
      <c r="A44" t="s">
        <v>702</v>
      </c>
      <c r="B44" t="s">
        <v>376</v>
      </c>
      <c r="C44" s="18">
        <v>2002</v>
      </c>
      <c r="D44" t="s">
        <v>667</v>
      </c>
      <c r="E44" s="22"/>
      <c r="F44" s="21" t="s">
        <v>585</v>
      </c>
      <c r="G44" t="s">
        <v>667</v>
      </c>
      <c r="H44" s="21" t="s">
        <v>585</v>
      </c>
    </row>
    <row r="45" spans="1:8" x14ac:dyDescent="0.25">
      <c r="A45" t="s">
        <v>657</v>
      </c>
      <c r="B45" t="s">
        <v>658</v>
      </c>
      <c r="C45" s="18">
        <v>2002</v>
      </c>
      <c r="D45" t="s">
        <v>666</v>
      </c>
      <c r="E45" s="22" t="s">
        <v>594</v>
      </c>
      <c r="F45" t="s">
        <v>687</v>
      </c>
      <c r="G45" t="s">
        <v>666</v>
      </c>
      <c r="H45" t="s">
        <v>687</v>
      </c>
    </row>
    <row r="46" spans="1:8" x14ac:dyDescent="0.25">
      <c r="A46" t="s">
        <v>703</v>
      </c>
      <c r="B46" t="s">
        <v>154</v>
      </c>
      <c r="C46" s="18">
        <v>2002</v>
      </c>
      <c r="D46" t="s">
        <v>661</v>
      </c>
      <c r="E46" s="22"/>
      <c r="F46" t="s">
        <v>678</v>
      </c>
      <c r="G46" t="s">
        <v>661</v>
      </c>
      <c r="H46" t="s">
        <v>678</v>
      </c>
    </row>
    <row r="47" spans="1:8" x14ac:dyDescent="0.25">
      <c r="A47" t="s">
        <v>659</v>
      </c>
      <c r="B47" t="s">
        <v>376</v>
      </c>
      <c r="C47" s="18">
        <v>2003</v>
      </c>
      <c r="D47" s="21" t="s">
        <v>695</v>
      </c>
      <c r="E47" s="22" t="s">
        <v>617</v>
      </c>
      <c r="F47" t="s">
        <v>675</v>
      </c>
      <c r="G47" s="21" t="s">
        <v>695</v>
      </c>
      <c r="H47" t="s">
        <v>675</v>
      </c>
    </row>
    <row r="48" spans="1:8" x14ac:dyDescent="0.25">
      <c r="A48" t="s">
        <v>702</v>
      </c>
      <c r="B48" t="s">
        <v>376</v>
      </c>
      <c r="C48" s="18">
        <v>2003</v>
      </c>
      <c r="D48" s="21" t="s">
        <v>695</v>
      </c>
      <c r="E48" s="22"/>
      <c r="F48" s="21" t="s">
        <v>585</v>
      </c>
      <c r="G48" s="21" t="s">
        <v>695</v>
      </c>
      <c r="H48" s="21" t="s">
        <v>585</v>
      </c>
    </row>
    <row r="49" spans="1:8" x14ac:dyDescent="0.25">
      <c r="A49" t="s">
        <v>657</v>
      </c>
      <c r="B49" t="s">
        <v>658</v>
      </c>
      <c r="C49" s="18">
        <v>2003</v>
      </c>
      <c r="D49" t="s">
        <v>687</v>
      </c>
      <c r="E49" s="22" t="s">
        <v>595</v>
      </c>
      <c r="F49" s="21" t="s">
        <v>596</v>
      </c>
      <c r="G49" t="s">
        <v>687</v>
      </c>
      <c r="H49" s="21" t="s">
        <v>596</v>
      </c>
    </row>
    <row r="50" spans="1:8" x14ac:dyDescent="0.25">
      <c r="A50" t="s">
        <v>703</v>
      </c>
      <c r="B50" t="s">
        <v>154</v>
      </c>
      <c r="C50" s="18">
        <v>2003</v>
      </c>
      <c r="D50" t="s">
        <v>662</v>
      </c>
      <c r="E50" s="22"/>
      <c r="F50" t="s">
        <v>661</v>
      </c>
      <c r="G50" t="s">
        <v>662</v>
      </c>
      <c r="H50" t="s">
        <v>661</v>
      </c>
    </row>
    <row r="51" spans="1:8" x14ac:dyDescent="0.25">
      <c r="A51" t="s">
        <v>659</v>
      </c>
      <c r="B51" t="s">
        <v>376</v>
      </c>
      <c r="C51" s="18">
        <v>2004</v>
      </c>
      <c r="D51" t="s">
        <v>667</v>
      </c>
      <c r="E51" s="22" t="s">
        <v>617</v>
      </c>
      <c r="F51" t="s">
        <v>675</v>
      </c>
      <c r="G51" t="s">
        <v>667</v>
      </c>
      <c r="H51" t="s">
        <v>675</v>
      </c>
    </row>
    <row r="52" spans="1:8" x14ac:dyDescent="0.25">
      <c r="A52" t="s">
        <v>702</v>
      </c>
      <c r="B52" t="s">
        <v>376</v>
      </c>
      <c r="C52" s="18">
        <v>2004</v>
      </c>
      <c r="D52" t="s">
        <v>667</v>
      </c>
      <c r="E52" s="22"/>
      <c r="F52" t="s">
        <v>675</v>
      </c>
      <c r="G52" t="s">
        <v>667</v>
      </c>
      <c r="H52" t="s">
        <v>675</v>
      </c>
    </row>
    <row r="53" spans="1:8" x14ac:dyDescent="0.25">
      <c r="A53" t="s">
        <v>657</v>
      </c>
      <c r="B53" t="s">
        <v>658</v>
      </c>
      <c r="C53" s="18">
        <v>2004</v>
      </c>
      <c r="D53" t="s">
        <v>687</v>
      </c>
      <c r="E53" s="22" t="s">
        <v>597</v>
      </c>
      <c r="F53" s="21" t="s">
        <v>593</v>
      </c>
      <c r="G53" t="s">
        <v>687</v>
      </c>
      <c r="H53" t="s">
        <v>666</v>
      </c>
    </row>
    <row r="54" spans="1:8" x14ac:dyDescent="0.25">
      <c r="A54" t="s">
        <v>703</v>
      </c>
      <c r="B54" t="s">
        <v>154</v>
      </c>
      <c r="C54" s="18">
        <v>2004</v>
      </c>
      <c r="D54" t="s">
        <v>662</v>
      </c>
      <c r="E54" s="22"/>
      <c r="F54" s="21" t="s">
        <v>692</v>
      </c>
      <c r="G54" t="s">
        <v>662</v>
      </c>
      <c r="H54" s="21" t="s">
        <v>692</v>
      </c>
    </row>
    <row r="55" spans="1:8" x14ac:dyDescent="0.25">
      <c r="A55" t="s">
        <v>659</v>
      </c>
      <c r="B55" t="s">
        <v>376</v>
      </c>
      <c r="C55" s="18">
        <v>2005</v>
      </c>
      <c r="D55" t="s">
        <v>675</v>
      </c>
      <c r="E55" s="22" t="s">
        <v>608</v>
      </c>
      <c r="F55" t="s">
        <v>670</v>
      </c>
      <c r="G55" t="s">
        <v>675</v>
      </c>
      <c r="H55" t="s">
        <v>670</v>
      </c>
    </row>
    <row r="56" spans="1:8" x14ac:dyDescent="0.25">
      <c r="A56" t="s">
        <v>702</v>
      </c>
      <c r="B56" t="s">
        <v>376</v>
      </c>
      <c r="C56" s="18">
        <v>2005</v>
      </c>
      <c r="D56" t="s">
        <v>667</v>
      </c>
      <c r="E56" s="22"/>
      <c r="F56" t="s">
        <v>675</v>
      </c>
      <c r="G56" t="s">
        <v>667</v>
      </c>
      <c r="H56" t="s">
        <v>675</v>
      </c>
    </row>
    <row r="57" spans="1:8" x14ac:dyDescent="0.25">
      <c r="A57" t="s">
        <v>657</v>
      </c>
      <c r="B57" t="s">
        <v>658</v>
      </c>
      <c r="C57" s="18">
        <v>2005</v>
      </c>
      <c r="D57" s="21" t="s">
        <v>598</v>
      </c>
      <c r="E57" s="22" t="s">
        <v>599</v>
      </c>
      <c r="F57" s="21" t="s">
        <v>600</v>
      </c>
      <c r="G57" s="21" t="s">
        <v>598</v>
      </c>
      <c r="H57" t="s">
        <v>681</v>
      </c>
    </row>
    <row r="58" spans="1:8" x14ac:dyDescent="0.25">
      <c r="A58" t="s">
        <v>703</v>
      </c>
      <c r="B58" t="s">
        <v>154</v>
      </c>
      <c r="C58" s="18">
        <v>2005</v>
      </c>
      <c r="D58" t="s">
        <v>662</v>
      </c>
      <c r="E58" s="22"/>
      <c r="F58" t="s">
        <v>661</v>
      </c>
      <c r="G58" t="s">
        <v>662</v>
      </c>
      <c r="H58" t="s">
        <v>661</v>
      </c>
    </row>
    <row r="59" spans="1:8" x14ac:dyDescent="0.25">
      <c r="A59" t="s">
        <v>659</v>
      </c>
      <c r="B59" t="s">
        <v>376</v>
      </c>
      <c r="C59" s="18">
        <v>2006</v>
      </c>
      <c r="D59" t="s">
        <v>667</v>
      </c>
      <c r="E59" s="22" t="s">
        <v>649</v>
      </c>
      <c r="F59" s="21" t="s">
        <v>696</v>
      </c>
      <c r="G59" t="s">
        <v>667</v>
      </c>
      <c r="H59" s="21" t="s">
        <v>696</v>
      </c>
    </row>
    <row r="60" spans="1:8" x14ac:dyDescent="0.25">
      <c r="A60" t="s">
        <v>702</v>
      </c>
      <c r="B60" t="s">
        <v>376</v>
      </c>
      <c r="C60" s="18">
        <v>2006</v>
      </c>
      <c r="D60" t="s">
        <v>667</v>
      </c>
      <c r="E60" s="22"/>
      <c r="F60" t="s">
        <v>670</v>
      </c>
      <c r="G60" t="s">
        <v>667</v>
      </c>
      <c r="H60" t="s">
        <v>670</v>
      </c>
    </row>
    <row r="61" spans="1:8" x14ac:dyDescent="0.25">
      <c r="A61" t="s">
        <v>657</v>
      </c>
      <c r="B61" t="s">
        <v>658</v>
      </c>
      <c r="C61" s="18">
        <v>2006</v>
      </c>
      <c r="D61" s="21" t="s">
        <v>593</v>
      </c>
      <c r="E61" s="22" t="s">
        <v>601</v>
      </c>
      <c r="F61" s="21" t="s">
        <v>598</v>
      </c>
      <c r="G61" t="s">
        <v>666</v>
      </c>
      <c r="H61" s="21" t="s">
        <v>598</v>
      </c>
    </row>
    <row r="62" spans="1:8" x14ac:dyDescent="0.25">
      <c r="A62" t="s">
        <v>703</v>
      </c>
      <c r="B62" t="s">
        <v>154</v>
      </c>
      <c r="C62" s="18">
        <v>2006</v>
      </c>
      <c r="D62" t="s">
        <v>663</v>
      </c>
      <c r="E62" s="22"/>
      <c r="F62" s="21" t="s">
        <v>591</v>
      </c>
      <c r="G62" t="s">
        <v>663</v>
      </c>
      <c r="H62" t="s">
        <v>693</v>
      </c>
    </row>
    <row r="63" spans="1:8" x14ac:dyDescent="0.25">
      <c r="A63" t="s">
        <v>659</v>
      </c>
      <c r="B63" t="s">
        <v>376</v>
      </c>
      <c r="C63" s="18">
        <v>2007</v>
      </c>
      <c r="D63" t="s">
        <v>667</v>
      </c>
      <c r="E63" s="22" t="s">
        <v>612</v>
      </c>
      <c r="F63" t="s">
        <v>675</v>
      </c>
      <c r="G63" t="s">
        <v>667</v>
      </c>
      <c r="H63" t="s">
        <v>675</v>
      </c>
    </row>
    <row r="64" spans="1:8" x14ac:dyDescent="0.25">
      <c r="A64" t="s">
        <v>702</v>
      </c>
      <c r="B64" t="s">
        <v>376</v>
      </c>
      <c r="C64" s="18">
        <v>2007</v>
      </c>
      <c r="D64" t="s">
        <v>667</v>
      </c>
      <c r="E64" s="22"/>
      <c r="F64" t="s">
        <v>670</v>
      </c>
      <c r="G64" t="s">
        <v>667</v>
      </c>
      <c r="H64" t="s">
        <v>670</v>
      </c>
    </row>
    <row r="65" spans="1:8" x14ac:dyDescent="0.25">
      <c r="A65" t="s">
        <v>657</v>
      </c>
      <c r="B65" t="s">
        <v>658</v>
      </c>
      <c r="C65" s="18">
        <v>2007</v>
      </c>
      <c r="D65" t="s">
        <v>667</v>
      </c>
      <c r="E65" s="22" t="s">
        <v>602</v>
      </c>
      <c r="F65" t="s">
        <v>687</v>
      </c>
      <c r="G65" t="s">
        <v>667</v>
      </c>
      <c r="H65" t="s">
        <v>687</v>
      </c>
    </row>
    <row r="66" spans="1:8" x14ac:dyDescent="0.25">
      <c r="A66" t="s">
        <v>703</v>
      </c>
      <c r="B66" t="s">
        <v>154</v>
      </c>
      <c r="C66" s="18">
        <v>2007</v>
      </c>
      <c r="D66" t="s">
        <v>662</v>
      </c>
      <c r="E66" s="22"/>
      <c r="F66" t="s">
        <v>663</v>
      </c>
      <c r="G66" t="s">
        <v>662</v>
      </c>
      <c r="H66" t="s">
        <v>663</v>
      </c>
    </row>
    <row r="67" spans="1:8" x14ac:dyDescent="0.25">
      <c r="A67" t="s">
        <v>659</v>
      </c>
      <c r="B67" t="s">
        <v>376</v>
      </c>
      <c r="C67" s="18">
        <v>2008</v>
      </c>
      <c r="D67" t="s">
        <v>667</v>
      </c>
      <c r="E67" s="22" t="s">
        <v>612</v>
      </c>
      <c r="F67" s="21" t="s">
        <v>696</v>
      </c>
      <c r="G67" t="s">
        <v>667</v>
      </c>
      <c r="H67" s="21" t="s">
        <v>696</v>
      </c>
    </row>
    <row r="68" spans="1:8" x14ac:dyDescent="0.25">
      <c r="A68" t="s">
        <v>702</v>
      </c>
      <c r="B68" t="s">
        <v>376</v>
      </c>
      <c r="C68" s="18">
        <v>2008</v>
      </c>
      <c r="D68" t="s">
        <v>667</v>
      </c>
      <c r="E68" s="22"/>
      <c r="F68" t="s">
        <v>670</v>
      </c>
      <c r="G68" t="s">
        <v>667</v>
      </c>
      <c r="H68" t="s">
        <v>670</v>
      </c>
    </row>
    <row r="69" spans="1:8" x14ac:dyDescent="0.25">
      <c r="A69" t="s">
        <v>657</v>
      </c>
      <c r="B69" t="s">
        <v>658</v>
      </c>
      <c r="C69" s="18">
        <v>2008</v>
      </c>
      <c r="D69" s="21" t="s">
        <v>593</v>
      </c>
      <c r="E69" s="22" t="s">
        <v>603</v>
      </c>
      <c r="F69" t="s">
        <v>687</v>
      </c>
      <c r="G69" t="s">
        <v>666</v>
      </c>
      <c r="H69" t="s">
        <v>687</v>
      </c>
    </row>
    <row r="70" spans="1:8" x14ac:dyDescent="0.25">
      <c r="A70" t="s">
        <v>703</v>
      </c>
      <c r="B70" t="s">
        <v>154</v>
      </c>
      <c r="C70" s="18">
        <v>2008</v>
      </c>
      <c r="D70" t="s">
        <v>661</v>
      </c>
      <c r="E70" s="22"/>
      <c r="F70" s="21" t="s">
        <v>691</v>
      </c>
      <c r="G70" t="s">
        <v>661</v>
      </c>
      <c r="H70" s="21" t="s">
        <v>691</v>
      </c>
    </row>
    <row r="71" spans="1:8" x14ac:dyDescent="0.25">
      <c r="A71" t="s">
        <v>659</v>
      </c>
      <c r="B71" t="s">
        <v>376</v>
      </c>
      <c r="C71" s="18">
        <v>2009</v>
      </c>
      <c r="D71" t="s">
        <v>667</v>
      </c>
      <c r="E71" s="22" t="s">
        <v>610</v>
      </c>
      <c r="F71" t="s">
        <v>683</v>
      </c>
      <c r="G71" t="s">
        <v>667</v>
      </c>
      <c r="H71" t="s">
        <v>683</v>
      </c>
    </row>
    <row r="72" spans="1:8" x14ac:dyDescent="0.25">
      <c r="A72" t="s">
        <v>702</v>
      </c>
      <c r="B72" t="s">
        <v>376</v>
      </c>
      <c r="C72" s="18">
        <v>2009</v>
      </c>
      <c r="D72" t="s">
        <v>667</v>
      </c>
      <c r="E72" s="22"/>
      <c r="F72" t="s">
        <v>670</v>
      </c>
      <c r="G72" t="s">
        <v>667</v>
      </c>
      <c r="H72" t="s">
        <v>670</v>
      </c>
    </row>
    <row r="73" spans="1:8" x14ac:dyDescent="0.25">
      <c r="A73" t="s">
        <v>657</v>
      </c>
      <c r="B73" t="s">
        <v>658</v>
      </c>
      <c r="C73" s="18">
        <v>2009</v>
      </c>
      <c r="D73" s="21" t="s">
        <v>604</v>
      </c>
      <c r="E73" s="22" t="s">
        <v>605</v>
      </c>
      <c r="F73" s="21" t="s">
        <v>606</v>
      </c>
      <c r="G73" s="21" t="s">
        <v>604</v>
      </c>
      <c r="H73" s="21" t="s">
        <v>606</v>
      </c>
    </row>
    <row r="74" spans="1:8" x14ac:dyDescent="0.25">
      <c r="A74" t="s">
        <v>703</v>
      </c>
      <c r="B74" t="s">
        <v>154</v>
      </c>
      <c r="C74" s="18">
        <v>2009</v>
      </c>
      <c r="D74" s="21" t="s">
        <v>691</v>
      </c>
      <c r="E74" s="22"/>
      <c r="F74" t="s">
        <v>661</v>
      </c>
      <c r="G74" s="21" t="s">
        <v>691</v>
      </c>
      <c r="H74" t="s">
        <v>661</v>
      </c>
    </row>
    <row r="75" spans="1:8" x14ac:dyDescent="0.25">
      <c r="A75" t="s">
        <v>659</v>
      </c>
      <c r="B75" t="s">
        <v>376</v>
      </c>
      <c r="C75" s="18">
        <v>2010</v>
      </c>
      <c r="D75" t="s">
        <v>670</v>
      </c>
      <c r="E75" s="22" t="s">
        <v>618</v>
      </c>
      <c r="F75" t="s">
        <v>667</v>
      </c>
      <c r="G75" t="s">
        <v>670</v>
      </c>
      <c r="H75" t="s">
        <v>667</v>
      </c>
    </row>
    <row r="76" spans="1:8" x14ac:dyDescent="0.25">
      <c r="A76" t="s">
        <v>702</v>
      </c>
      <c r="B76" t="s">
        <v>376</v>
      </c>
      <c r="C76" s="18">
        <v>2010</v>
      </c>
      <c r="D76" t="s">
        <v>667</v>
      </c>
      <c r="E76" s="22"/>
      <c r="F76" t="s">
        <v>670</v>
      </c>
      <c r="G76" t="s">
        <v>667</v>
      </c>
      <c r="H76" t="s">
        <v>670</v>
      </c>
    </row>
    <row r="77" spans="1:8" x14ac:dyDescent="0.25">
      <c r="A77" t="s">
        <v>657</v>
      </c>
      <c r="B77" t="s">
        <v>658</v>
      </c>
      <c r="C77" s="18">
        <v>2010</v>
      </c>
      <c r="D77" s="21" t="s">
        <v>598</v>
      </c>
      <c r="E77" s="22" t="s">
        <v>607</v>
      </c>
      <c r="F77" t="s">
        <v>668</v>
      </c>
      <c r="G77" s="21" t="s">
        <v>598</v>
      </c>
      <c r="H77" t="s">
        <v>668</v>
      </c>
    </row>
    <row r="78" spans="1:8" x14ac:dyDescent="0.25">
      <c r="A78" t="s">
        <v>703</v>
      </c>
      <c r="B78" t="s">
        <v>154</v>
      </c>
      <c r="C78" s="18">
        <v>2010</v>
      </c>
      <c r="D78" s="21" t="s">
        <v>691</v>
      </c>
      <c r="E78" s="22"/>
      <c r="F78" t="s">
        <v>663</v>
      </c>
      <c r="G78" s="21" t="s">
        <v>691</v>
      </c>
      <c r="H78" t="s">
        <v>663</v>
      </c>
    </row>
    <row r="79" spans="1:8" x14ac:dyDescent="0.25">
      <c r="A79" t="s">
        <v>659</v>
      </c>
      <c r="B79" t="s">
        <v>376</v>
      </c>
      <c r="C79" s="18">
        <v>2011</v>
      </c>
      <c r="D79" t="s">
        <v>667</v>
      </c>
      <c r="E79" s="22" t="s">
        <v>594</v>
      </c>
      <c r="F79" s="21" t="s">
        <v>590</v>
      </c>
      <c r="G79" t="s">
        <v>667</v>
      </c>
      <c r="H79" s="21" t="s">
        <v>590</v>
      </c>
    </row>
    <row r="80" spans="1:8" x14ac:dyDescent="0.25">
      <c r="A80" t="s">
        <v>702</v>
      </c>
      <c r="B80" t="s">
        <v>376</v>
      </c>
      <c r="C80" s="18">
        <v>2011</v>
      </c>
      <c r="D80" t="s">
        <v>667</v>
      </c>
      <c r="E80" s="22"/>
      <c r="F80" t="s">
        <v>676</v>
      </c>
      <c r="G80" t="s">
        <v>667</v>
      </c>
      <c r="H80" t="s">
        <v>676</v>
      </c>
    </row>
    <row r="81" spans="1:8" x14ac:dyDescent="0.25">
      <c r="A81" t="s">
        <v>657</v>
      </c>
      <c r="B81" t="s">
        <v>658</v>
      </c>
      <c r="C81" s="18">
        <v>2011</v>
      </c>
      <c r="D81" t="s">
        <v>668</v>
      </c>
      <c r="E81" s="22" t="s">
        <v>594</v>
      </c>
      <c r="F81" s="21" t="s">
        <v>598</v>
      </c>
      <c r="G81" t="s">
        <v>668</v>
      </c>
      <c r="H81" s="21" t="s">
        <v>598</v>
      </c>
    </row>
    <row r="82" spans="1:8" x14ac:dyDescent="0.25">
      <c r="A82" t="s">
        <v>703</v>
      </c>
      <c r="B82" t="s">
        <v>154</v>
      </c>
      <c r="C82" s="18">
        <v>2011</v>
      </c>
      <c r="D82" s="21" t="s">
        <v>691</v>
      </c>
      <c r="E82" s="22"/>
      <c r="F82" t="s">
        <v>663</v>
      </c>
      <c r="G82" s="21" t="s">
        <v>691</v>
      </c>
      <c r="H82" t="s">
        <v>663</v>
      </c>
    </row>
    <row r="83" spans="1:8" x14ac:dyDescent="0.25">
      <c r="A83" t="s">
        <v>659</v>
      </c>
      <c r="B83" t="s">
        <v>376</v>
      </c>
      <c r="C83" s="18">
        <v>2012</v>
      </c>
      <c r="D83" t="s">
        <v>676</v>
      </c>
      <c r="E83" s="22" t="s">
        <v>650</v>
      </c>
      <c r="F83" t="s">
        <v>672</v>
      </c>
      <c r="G83" t="s">
        <v>676</v>
      </c>
      <c r="H83" t="s">
        <v>672</v>
      </c>
    </row>
    <row r="84" spans="1:8" x14ac:dyDescent="0.25">
      <c r="A84" t="s">
        <v>702</v>
      </c>
      <c r="B84" t="s">
        <v>376</v>
      </c>
      <c r="C84" s="18">
        <v>2012</v>
      </c>
      <c r="D84" t="s">
        <v>667</v>
      </c>
      <c r="E84" s="22"/>
      <c r="F84" t="s">
        <v>676</v>
      </c>
      <c r="G84" t="s">
        <v>667</v>
      </c>
      <c r="H84" t="s">
        <v>676</v>
      </c>
    </row>
    <row r="85" spans="1:8" x14ac:dyDescent="0.25">
      <c r="A85" t="s">
        <v>657</v>
      </c>
      <c r="B85" t="s">
        <v>658</v>
      </c>
      <c r="C85" s="18">
        <v>2012</v>
      </c>
      <c r="D85" t="s">
        <v>668</v>
      </c>
      <c r="E85" s="22" t="s">
        <v>594</v>
      </c>
      <c r="F85" s="21" t="s">
        <v>593</v>
      </c>
      <c r="G85" t="s">
        <v>668</v>
      </c>
      <c r="H85" t="s">
        <v>666</v>
      </c>
    </row>
    <row r="86" spans="1:8" x14ac:dyDescent="0.25">
      <c r="A86" t="s">
        <v>703</v>
      </c>
      <c r="B86" t="s">
        <v>154</v>
      </c>
      <c r="C86" s="18">
        <v>2012</v>
      </c>
      <c r="D86" t="s">
        <v>664</v>
      </c>
      <c r="E86" s="22"/>
      <c r="F86" t="s">
        <v>662</v>
      </c>
      <c r="G86" t="s">
        <v>664</v>
      </c>
      <c r="H86" t="s">
        <v>662</v>
      </c>
    </row>
    <row r="87" spans="1:8" x14ac:dyDescent="0.25">
      <c r="A87" t="s">
        <v>659</v>
      </c>
      <c r="B87" t="s">
        <v>376</v>
      </c>
      <c r="C87" s="18">
        <v>2013</v>
      </c>
      <c r="D87" t="s">
        <v>667</v>
      </c>
      <c r="E87" s="22" t="s">
        <v>617</v>
      </c>
      <c r="F87" s="21" t="s">
        <v>590</v>
      </c>
      <c r="G87" t="s">
        <v>667</v>
      </c>
      <c r="H87" s="21" t="s">
        <v>590</v>
      </c>
    </row>
    <row r="88" spans="1:8" x14ac:dyDescent="0.25">
      <c r="A88" t="s">
        <v>702</v>
      </c>
      <c r="B88" t="s">
        <v>376</v>
      </c>
      <c r="C88" s="18">
        <v>2013</v>
      </c>
      <c r="D88" t="s">
        <v>671</v>
      </c>
      <c r="E88" s="22"/>
      <c r="F88" s="21" t="s">
        <v>590</v>
      </c>
      <c r="G88" t="s">
        <v>671</v>
      </c>
      <c r="H88" s="21" t="s">
        <v>590</v>
      </c>
    </row>
    <row r="89" spans="1:8" x14ac:dyDescent="0.25">
      <c r="A89" t="s">
        <v>657</v>
      </c>
      <c r="B89" t="s">
        <v>658</v>
      </c>
      <c r="C89" s="18">
        <v>2013</v>
      </c>
      <c r="D89" t="s">
        <v>669</v>
      </c>
      <c r="E89" s="22" t="s">
        <v>608</v>
      </c>
      <c r="F89" t="s">
        <v>668</v>
      </c>
      <c r="G89" t="s">
        <v>669</v>
      </c>
      <c r="H89" t="s">
        <v>668</v>
      </c>
    </row>
    <row r="90" spans="1:8" x14ac:dyDescent="0.25">
      <c r="A90" t="s">
        <v>703</v>
      </c>
      <c r="B90" t="s">
        <v>154</v>
      </c>
      <c r="C90" s="18">
        <v>2013</v>
      </c>
      <c r="D90" t="s">
        <v>664</v>
      </c>
      <c r="E90" s="22"/>
      <c r="F90" t="s">
        <v>662</v>
      </c>
      <c r="G90" t="s">
        <v>664</v>
      </c>
      <c r="H90" t="s">
        <v>662</v>
      </c>
    </row>
    <row r="91" spans="1:8" x14ac:dyDescent="0.25">
      <c r="A91" t="s">
        <v>705</v>
      </c>
      <c r="B91" t="s">
        <v>660</v>
      </c>
      <c r="C91" s="18">
        <v>2013</v>
      </c>
      <c r="D91" s="21" t="s">
        <v>619</v>
      </c>
      <c r="E91" s="22"/>
      <c r="F91" s="21"/>
      <c r="G91" t="s">
        <v>619</v>
      </c>
    </row>
    <row r="92" spans="1:8" x14ac:dyDescent="0.25">
      <c r="A92" t="s">
        <v>704</v>
      </c>
      <c r="B92" t="s">
        <v>660</v>
      </c>
      <c r="C92" s="18">
        <v>2013</v>
      </c>
      <c r="D92" s="21" t="s">
        <v>620</v>
      </c>
      <c r="E92" s="22"/>
      <c r="F92" s="21"/>
      <c r="G92" s="21" t="s">
        <v>620</v>
      </c>
    </row>
    <row r="93" spans="1:8" x14ac:dyDescent="0.25">
      <c r="A93" t="s">
        <v>659</v>
      </c>
      <c r="B93" t="s">
        <v>376</v>
      </c>
      <c r="C93" s="18">
        <v>2014</v>
      </c>
      <c r="D93" t="s">
        <v>667</v>
      </c>
      <c r="E93" s="22" t="s">
        <v>594</v>
      </c>
      <c r="F93" t="s">
        <v>670</v>
      </c>
      <c r="G93" t="s">
        <v>667</v>
      </c>
      <c r="H93" t="s">
        <v>670</v>
      </c>
    </row>
    <row r="94" spans="1:8" x14ac:dyDescent="0.25">
      <c r="A94" t="s">
        <v>702</v>
      </c>
      <c r="B94" t="s">
        <v>376</v>
      </c>
      <c r="C94" s="18">
        <v>2014</v>
      </c>
      <c r="D94" t="s">
        <v>671</v>
      </c>
      <c r="E94" s="22"/>
      <c r="F94" t="s">
        <v>672</v>
      </c>
      <c r="G94" t="s">
        <v>671</v>
      </c>
      <c r="H94" t="s">
        <v>672</v>
      </c>
    </row>
    <row r="95" spans="1:8" x14ac:dyDescent="0.25">
      <c r="A95" t="s">
        <v>657</v>
      </c>
      <c r="B95" t="s">
        <v>658</v>
      </c>
      <c r="C95" s="18">
        <v>2014</v>
      </c>
      <c r="D95" t="s">
        <v>669</v>
      </c>
      <c r="E95" s="22" t="s">
        <v>609</v>
      </c>
      <c r="F95" t="s">
        <v>688</v>
      </c>
      <c r="G95" t="s">
        <v>669</v>
      </c>
      <c r="H95" t="s">
        <v>688</v>
      </c>
    </row>
    <row r="96" spans="1:8" x14ac:dyDescent="0.25">
      <c r="A96" t="s">
        <v>703</v>
      </c>
      <c r="B96" t="s">
        <v>154</v>
      </c>
      <c r="C96" s="18">
        <v>2014</v>
      </c>
      <c r="D96" t="s">
        <v>664</v>
      </c>
      <c r="E96" s="22"/>
      <c r="F96" t="s">
        <v>662</v>
      </c>
      <c r="G96" t="s">
        <v>664</v>
      </c>
      <c r="H96" t="s">
        <v>662</v>
      </c>
    </row>
    <row r="97" spans="1:8" x14ac:dyDescent="0.25">
      <c r="A97" t="s">
        <v>705</v>
      </c>
      <c r="B97" t="s">
        <v>660</v>
      </c>
      <c r="C97" s="18">
        <v>2014</v>
      </c>
      <c r="D97" s="21" t="s">
        <v>621</v>
      </c>
      <c r="E97" s="22"/>
      <c r="F97" s="21"/>
      <c r="G97" s="21" t="s">
        <v>621</v>
      </c>
    </row>
    <row r="98" spans="1:8" x14ac:dyDescent="0.25">
      <c r="A98" t="s">
        <v>704</v>
      </c>
      <c r="B98" t="s">
        <v>660</v>
      </c>
      <c r="C98" s="18">
        <v>2014</v>
      </c>
      <c r="D98" s="21" t="s">
        <v>622</v>
      </c>
      <c r="E98" s="22"/>
      <c r="F98" s="21"/>
      <c r="G98" s="21" t="s">
        <v>652</v>
      </c>
    </row>
    <row r="99" spans="1:8" x14ac:dyDescent="0.25">
      <c r="A99" t="s">
        <v>659</v>
      </c>
      <c r="B99" t="s">
        <v>376</v>
      </c>
      <c r="C99" s="18">
        <v>2015</v>
      </c>
      <c r="D99" t="s">
        <v>672</v>
      </c>
      <c r="E99" s="22" t="s">
        <v>608</v>
      </c>
      <c r="F99" s="21" t="s">
        <v>697</v>
      </c>
      <c r="G99" t="s">
        <v>672</v>
      </c>
      <c r="H99" s="21" t="s">
        <v>697</v>
      </c>
    </row>
    <row r="100" spans="1:8" x14ac:dyDescent="0.25">
      <c r="A100" t="s">
        <v>702</v>
      </c>
      <c r="B100" t="s">
        <v>376</v>
      </c>
      <c r="C100" s="18">
        <v>2015</v>
      </c>
      <c r="D100" t="s">
        <v>672</v>
      </c>
      <c r="E100" s="22"/>
      <c r="F100" t="s">
        <v>673</v>
      </c>
      <c r="G100" t="s">
        <v>672</v>
      </c>
      <c r="H100" t="s">
        <v>673</v>
      </c>
    </row>
    <row r="101" spans="1:8" x14ac:dyDescent="0.25">
      <c r="A101" t="s">
        <v>657</v>
      </c>
      <c r="B101" t="s">
        <v>658</v>
      </c>
      <c r="C101" s="18">
        <v>2015</v>
      </c>
      <c r="D101" s="21" t="s">
        <v>593</v>
      </c>
      <c r="E101" s="22" t="s">
        <v>610</v>
      </c>
      <c r="F101" t="s">
        <v>682</v>
      </c>
      <c r="G101" t="s">
        <v>666</v>
      </c>
      <c r="H101" t="s">
        <v>682</v>
      </c>
    </row>
    <row r="102" spans="1:8" x14ac:dyDescent="0.25">
      <c r="A102" t="s">
        <v>703</v>
      </c>
      <c r="B102" t="s">
        <v>154</v>
      </c>
      <c r="C102" s="18">
        <v>2015</v>
      </c>
      <c r="D102" t="s">
        <v>664</v>
      </c>
      <c r="E102" s="22"/>
      <c r="F102" t="s">
        <v>665</v>
      </c>
      <c r="G102" t="s">
        <v>664</v>
      </c>
      <c r="H102" t="s">
        <v>665</v>
      </c>
    </row>
    <row r="103" spans="1:8" x14ac:dyDescent="0.25">
      <c r="A103" t="s">
        <v>705</v>
      </c>
      <c r="B103" t="s">
        <v>660</v>
      </c>
      <c r="C103" s="18">
        <v>2015</v>
      </c>
      <c r="D103" s="21" t="s">
        <v>621</v>
      </c>
      <c r="E103" s="22"/>
      <c r="F103" s="21"/>
      <c r="G103" s="21" t="s">
        <v>621</v>
      </c>
    </row>
    <row r="104" spans="1:8" x14ac:dyDescent="0.25">
      <c r="A104" t="s">
        <v>704</v>
      </c>
      <c r="B104" t="s">
        <v>660</v>
      </c>
      <c r="C104" s="18">
        <v>2015</v>
      </c>
      <c r="D104" s="21" t="s">
        <v>622</v>
      </c>
      <c r="E104" s="22"/>
      <c r="F104" s="21"/>
      <c r="G104" s="21" t="s">
        <v>652</v>
      </c>
    </row>
    <row r="105" spans="1:8" x14ac:dyDescent="0.25">
      <c r="A105" t="s">
        <v>659</v>
      </c>
      <c r="B105" t="s">
        <v>376</v>
      </c>
      <c r="C105" s="18">
        <v>2016</v>
      </c>
      <c r="D105" t="s">
        <v>667</v>
      </c>
      <c r="E105" s="22" t="s">
        <v>608</v>
      </c>
      <c r="F105" t="s">
        <v>672</v>
      </c>
      <c r="G105" t="s">
        <v>667</v>
      </c>
      <c r="H105" t="s">
        <v>672</v>
      </c>
    </row>
    <row r="106" spans="1:8" x14ac:dyDescent="0.25">
      <c r="A106" t="s">
        <v>702</v>
      </c>
      <c r="B106" t="s">
        <v>376</v>
      </c>
      <c r="C106" s="18">
        <v>2016</v>
      </c>
      <c r="D106" t="s">
        <v>673</v>
      </c>
      <c r="E106" s="22"/>
      <c r="F106" t="s">
        <v>672</v>
      </c>
      <c r="G106" t="s">
        <v>673</v>
      </c>
      <c r="H106" t="s">
        <v>672</v>
      </c>
    </row>
    <row r="107" spans="1:8" x14ac:dyDescent="0.25">
      <c r="A107" t="s">
        <v>657</v>
      </c>
      <c r="B107" t="s">
        <v>658</v>
      </c>
      <c r="C107" s="18">
        <v>2016</v>
      </c>
      <c r="D107" t="s">
        <v>668</v>
      </c>
      <c r="E107" s="22" t="s">
        <v>611</v>
      </c>
      <c r="F107" t="s">
        <v>669</v>
      </c>
      <c r="G107" t="s">
        <v>668</v>
      </c>
      <c r="H107" t="s">
        <v>669</v>
      </c>
    </row>
    <row r="108" spans="1:8" x14ac:dyDescent="0.25">
      <c r="A108" t="s">
        <v>703</v>
      </c>
      <c r="B108" t="s">
        <v>154</v>
      </c>
      <c r="C108" s="18">
        <v>2016</v>
      </c>
      <c r="D108" t="s">
        <v>662</v>
      </c>
      <c r="E108" s="22"/>
      <c r="F108" t="s">
        <v>664</v>
      </c>
      <c r="G108" t="s">
        <v>662</v>
      </c>
      <c r="H108" t="s">
        <v>664</v>
      </c>
    </row>
    <row r="109" spans="1:8" x14ac:dyDescent="0.25">
      <c r="A109" t="s">
        <v>705</v>
      </c>
      <c r="B109" t="s">
        <v>660</v>
      </c>
      <c r="C109" s="18">
        <v>2016</v>
      </c>
      <c r="D109" s="21" t="s">
        <v>620</v>
      </c>
      <c r="E109" s="22"/>
      <c r="F109" s="21"/>
      <c r="G109" s="21" t="s">
        <v>620</v>
      </c>
    </row>
    <row r="110" spans="1:8" x14ac:dyDescent="0.25">
      <c r="A110" t="s">
        <v>704</v>
      </c>
      <c r="B110" t="s">
        <v>660</v>
      </c>
      <c r="C110" s="18">
        <v>2016</v>
      </c>
      <c r="D110" s="21" t="s">
        <v>619</v>
      </c>
      <c r="E110" s="22"/>
      <c r="F110" s="21"/>
      <c r="G110" t="s">
        <v>619</v>
      </c>
    </row>
    <row r="111" spans="1:8" x14ac:dyDescent="0.25">
      <c r="A111" t="s">
        <v>659</v>
      </c>
      <c r="B111" t="s">
        <v>376</v>
      </c>
      <c r="C111" s="18">
        <v>2017</v>
      </c>
      <c r="D111" t="s">
        <v>673</v>
      </c>
      <c r="E111" s="22" t="s">
        <v>612</v>
      </c>
      <c r="F111" t="s">
        <v>676</v>
      </c>
      <c r="G111" t="s">
        <v>673</v>
      </c>
      <c r="H111" t="s">
        <v>676</v>
      </c>
    </row>
    <row r="112" spans="1:8" x14ac:dyDescent="0.25">
      <c r="A112" t="s">
        <v>702</v>
      </c>
      <c r="B112" t="s">
        <v>376</v>
      </c>
      <c r="C112" s="18">
        <v>2017</v>
      </c>
      <c r="D112" t="s">
        <v>672</v>
      </c>
      <c r="E112" s="22"/>
      <c r="F112" t="s">
        <v>673</v>
      </c>
      <c r="G112" t="s">
        <v>672</v>
      </c>
      <c r="H112" t="s">
        <v>673</v>
      </c>
    </row>
    <row r="113" spans="1:8" x14ac:dyDescent="0.25">
      <c r="A113" t="s">
        <v>657</v>
      </c>
      <c r="B113" t="s">
        <v>658</v>
      </c>
      <c r="C113" s="18">
        <v>2017</v>
      </c>
      <c r="D113" t="s">
        <v>668</v>
      </c>
      <c r="E113" s="22" t="s">
        <v>607</v>
      </c>
      <c r="F113" t="s">
        <v>682</v>
      </c>
      <c r="G113" t="s">
        <v>668</v>
      </c>
      <c r="H113" t="s">
        <v>682</v>
      </c>
    </row>
    <row r="114" spans="1:8" x14ac:dyDescent="0.25">
      <c r="A114" t="s">
        <v>703</v>
      </c>
      <c r="B114" t="s">
        <v>154</v>
      </c>
      <c r="C114" s="18">
        <v>2017</v>
      </c>
      <c r="D114" t="s">
        <v>665</v>
      </c>
      <c r="E114" s="22"/>
      <c r="F114" t="s">
        <v>664</v>
      </c>
      <c r="G114" t="s">
        <v>665</v>
      </c>
      <c r="H114" t="s">
        <v>664</v>
      </c>
    </row>
    <row r="115" spans="1:8" x14ac:dyDescent="0.25">
      <c r="A115" t="s">
        <v>705</v>
      </c>
      <c r="B115" t="s">
        <v>660</v>
      </c>
      <c r="C115" s="18">
        <v>2017</v>
      </c>
      <c r="D115" s="21" t="s">
        <v>619</v>
      </c>
      <c r="E115" s="22"/>
      <c r="F115" s="21"/>
      <c r="G115" t="s">
        <v>619</v>
      </c>
    </row>
    <row r="116" spans="1:8" x14ac:dyDescent="0.25">
      <c r="A116" t="s">
        <v>704</v>
      </c>
      <c r="B116" t="s">
        <v>660</v>
      </c>
      <c r="C116" s="18">
        <v>2017</v>
      </c>
      <c r="D116" s="21" t="s">
        <v>623</v>
      </c>
      <c r="E116" s="22"/>
      <c r="F116" s="21"/>
      <c r="G116" t="s">
        <v>623</v>
      </c>
    </row>
    <row r="117" spans="1:8" x14ac:dyDescent="0.25">
      <c r="A117" t="s">
        <v>659</v>
      </c>
      <c r="B117" t="s">
        <v>376</v>
      </c>
      <c r="C117" s="18">
        <v>2018</v>
      </c>
      <c r="D117" t="s">
        <v>672</v>
      </c>
      <c r="E117" s="22" t="s">
        <v>613</v>
      </c>
      <c r="F117" t="s">
        <v>667</v>
      </c>
      <c r="G117" t="s">
        <v>672</v>
      </c>
      <c r="H117" t="s">
        <v>667</v>
      </c>
    </row>
    <row r="118" spans="1:8" x14ac:dyDescent="0.25">
      <c r="A118" t="s">
        <v>702</v>
      </c>
      <c r="B118" t="s">
        <v>376</v>
      </c>
      <c r="C118" s="18">
        <v>2018</v>
      </c>
      <c r="D118" t="s">
        <v>672</v>
      </c>
      <c r="E118" s="22"/>
      <c r="F118" t="s">
        <v>673</v>
      </c>
      <c r="G118" t="s">
        <v>672</v>
      </c>
      <c r="H118" t="s">
        <v>673</v>
      </c>
    </row>
    <row r="119" spans="1:8" x14ac:dyDescent="0.25">
      <c r="A119" t="s">
        <v>657</v>
      </c>
      <c r="B119" t="s">
        <v>658</v>
      </c>
      <c r="C119" s="18">
        <v>2018</v>
      </c>
      <c r="D119" t="s">
        <v>668</v>
      </c>
      <c r="E119" s="22" t="s">
        <v>612</v>
      </c>
      <c r="F119" t="s">
        <v>669</v>
      </c>
      <c r="G119" t="s">
        <v>668</v>
      </c>
      <c r="H119" t="s">
        <v>669</v>
      </c>
    </row>
    <row r="120" spans="1:8" x14ac:dyDescent="0.25">
      <c r="A120" t="s">
        <v>703</v>
      </c>
      <c r="B120" t="s">
        <v>154</v>
      </c>
      <c r="C120" s="18">
        <v>2018</v>
      </c>
      <c r="D120" t="s">
        <v>665</v>
      </c>
      <c r="E120" s="22"/>
      <c r="F120" t="s">
        <v>664</v>
      </c>
      <c r="G120" t="s">
        <v>665</v>
      </c>
      <c r="H120" t="s">
        <v>664</v>
      </c>
    </row>
    <row r="121" spans="1:8" x14ac:dyDescent="0.25">
      <c r="A121" t="s">
        <v>705</v>
      </c>
      <c r="B121" t="s">
        <v>660</v>
      </c>
      <c r="C121" s="18">
        <v>2018</v>
      </c>
      <c r="D121" s="21" t="s">
        <v>623</v>
      </c>
      <c r="E121" s="22"/>
      <c r="F121" s="21"/>
      <c r="G121" t="s">
        <v>623</v>
      </c>
    </row>
    <row r="122" spans="1:8" x14ac:dyDescent="0.25">
      <c r="A122" t="s">
        <v>704</v>
      </c>
      <c r="B122" t="s">
        <v>660</v>
      </c>
      <c r="C122" s="18">
        <v>2018</v>
      </c>
      <c r="D122" s="21" t="s">
        <v>623</v>
      </c>
      <c r="E122" s="22"/>
      <c r="F122" s="21"/>
      <c r="G122" t="s">
        <v>623</v>
      </c>
    </row>
    <row r="123" spans="1:8" x14ac:dyDescent="0.25">
      <c r="A123" t="s">
        <v>659</v>
      </c>
      <c r="B123" t="s">
        <v>376</v>
      </c>
      <c r="C123" s="18">
        <v>2019</v>
      </c>
      <c r="D123" t="s">
        <v>673</v>
      </c>
      <c r="E123" s="22" t="s">
        <v>617</v>
      </c>
      <c r="F123" t="s">
        <v>684</v>
      </c>
      <c r="G123" t="s">
        <v>673</v>
      </c>
      <c r="H123" t="s">
        <v>684</v>
      </c>
    </row>
    <row r="124" spans="1:8" x14ac:dyDescent="0.25">
      <c r="A124" t="s">
        <v>702</v>
      </c>
      <c r="B124" t="s">
        <v>376</v>
      </c>
      <c r="C124" s="18">
        <v>2019</v>
      </c>
      <c r="D124" t="s">
        <v>667</v>
      </c>
      <c r="E124" s="22"/>
      <c r="F124" t="s">
        <v>673</v>
      </c>
      <c r="G124" t="s">
        <v>667</v>
      </c>
      <c r="H124" t="s">
        <v>673</v>
      </c>
    </row>
    <row r="125" spans="1:8" x14ac:dyDescent="0.25">
      <c r="A125" t="s">
        <v>657</v>
      </c>
      <c r="B125" t="s">
        <v>658</v>
      </c>
      <c r="C125" s="18">
        <v>2019</v>
      </c>
      <c r="D125" t="s">
        <v>668</v>
      </c>
      <c r="E125" s="22" t="s">
        <v>612</v>
      </c>
      <c r="F125" t="s">
        <v>664</v>
      </c>
      <c r="G125" t="s">
        <v>668</v>
      </c>
      <c r="H125" t="s">
        <v>664</v>
      </c>
    </row>
    <row r="126" spans="1:8" x14ac:dyDescent="0.25">
      <c r="A126" t="s">
        <v>703</v>
      </c>
      <c r="B126" t="s">
        <v>154</v>
      </c>
      <c r="C126" s="18">
        <v>2019</v>
      </c>
      <c r="D126" t="s">
        <v>665</v>
      </c>
      <c r="E126" s="22"/>
      <c r="F126" t="s">
        <v>664</v>
      </c>
      <c r="G126" t="s">
        <v>665</v>
      </c>
      <c r="H126" t="s">
        <v>664</v>
      </c>
    </row>
    <row r="127" spans="1:8" x14ac:dyDescent="0.25">
      <c r="A127" t="s">
        <v>705</v>
      </c>
      <c r="B127" t="s">
        <v>660</v>
      </c>
      <c r="C127" s="18">
        <v>2019</v>
      </c>
      <c r="D127" s="21" t="s">
        <v>623</v>
      </c>
      <c r="E127" s="22"/>
      <c r="F127" s="21"/>
      <c r="G127" t="s">
        <v>623</v>
      </c>
    </row>
    <row r="128" spans="1:8" x14ac:dyDescent="0.25">
      <c r="A128" t="s">
        <v>704</v>
      </c>
      <c r="B128" t="s">
        <v>660</v>
      </c>
      <c r="C128" s="18">
        <v>2019</v>
      </c>
      <c r="D128" s="21" t="s">
        <v>623</v>
      </c>
      <c r="E128" s="22"/>
      <c r="F128" s="21"/>
      <c r="G128" t="s">
        <v>623</v>
      </c>
    </row>
    <row r="129" spans="1:8" x14ac:dyDescent="0.25">
      <c r="A129" t="s">
        <v>659</v>
      </c>
      <c r="B129" t="s">
        <v>376</v>
      </c>
      <c r="C129" s="18">
        <v>2020</v>
      </c>
      <c r="D129" t="s">
        <v>673</v>
      </c>
      <c r="E129" s="22" t="s">
        <v>616</v>
      </c>
      <c r="F129" t="s">
        <v>670</v>
      </c>
      <c r="G129" t="s">
        <v>673</v>
      </c>
      <c r="H129" t="s">
        <v>670</v>
      </c>
    </row>
    <row r="130" spans="1:8" x14ac:dyDescent="0.25">
      <c r="A130" t="s">
        <v>702</v>
      </c>
      <c r="B130" t="s">
        <v>376</v>
      </c>
      <c r="C130" s="18">
        <v>2020</v>
      </c>
      <c r="D130" t="s">
        <v>672</v>
      </c>
      <c r="E130" s="22"/>
      <c r="F130" t="s">
        <v>673</v>
      </c>
      <c r="G130" t="s">
        <v>672</v>
      </c>
      <c r="H130" t="s">
        <v>673</v>
      </c>
    </row>
    <row r="131" spans="1:8" x14ac:dyDescent="0.25">
      <c r="A131" t="s">
        <v>657</v>
      </c>
      <c r="B131" t="s">
        <v>658</v>
      </c>
      <c r="C131" s="18">
        <v>2020</v>
      </c>
      <c r="D131" t="s">
        <v>668</v>
      </c>
      <c r="E131" s="22" t="s">
        <v>613</v>
      </c>
      <c r="F131" t="s">
        <v>669</v>
      </c>
      <c r="G131" t="s">
        <v>668</v>
      </c>
      <c r="H131" t="s">
        <v>669</v>
      </c>
    </row>
    <row r="132" spans="1:8" x14ac:dyDescent="0.25">
      <c r="A132" t="s">
        <v>703</v>
      </c>
      <c r="B132" t="s">
        <v>154</v>
      </c>
      <c r="C132" s="18">
        <v>2020</v>
      </c>
      <c r="D132" t="s">
        <v>664</v>
      </c>
      <c r="E132" s="22"/>
      <c r="F132" t="s">
        <v>665</v>
      </c>
      <c r="G132" t="s">
        <v>664</v>
      </c>
      <c r="H132" t="s">
        <v>665</v>
      </c>
    </row>
    <row r="133" spans="1:8" x14ac:dyDescent="0.25">
      <c r="A133" t="s">
        <v>659</v>
      </c>
      <c r="B133" t="s">
        <v>376</v>
      </c>
      <c r="C133" s="18">
        <v>2021</v>
      </c>
      <c r="D133" t="s">
        <v>672</v>
      </c>
      <c r="E133" s="22" t="s">
        <v>617</v>
      </c>
      <c r="F133" t="s">
        <v>667</v>
      </c>
      <c r="G133" t="s">
        <v>672</v>
      </c>
      <c r="H133" t="s">
        <v>667</v>
      </c>
    </row>
    <row r="134" spans="1:8" x14ac:dyDescent="0.25">
      <c r="A134" t="s">
        <v>702</v>
      </c>
      <c r="B134" t="s">
        <v>376</v>
      </c>
      <c r="C134" s="18">
        <v>2021</v>
      </c>
      <c r="D134" t="s">
        <v>672</v>
      </c>
      <c r="E134" s="22"/>
      <c r="F134" t="s">
        <v>673</v>
      </c>
      <c r="G134" t="s">
        <v>672</v>
      </c>
      <c r="H134" t="s">
        <v>673</v>
      </c>
    </row>
    <row r="135" spans="1:8" x14ac:dyDescent="0.25">
      <c r="A135" t="s">
        <v>657</v>
      </c>
      <c r="B135" t="s">
        <v>658</v>
      </c>
      <c r="C135" s="18">
        <v>2021</v>
      </c>
      <c r="D135" t="s">
        <v>664</v>
      </c>
      <c r="E135" s="22" t="s">
        <v>614</v>
      </c>
      <c r="F135" t="s">
        <v>672</v>
      </c>
      <c r="G135" t="s">
        <v>664</v>
      </c>
      <c r="H135" t="s">
        <v>672</v>
      </c>
    </row>
    <row r="136" spans="1:8" x14ac:dyDescent="0.25">
      <c r="A136" t="s">
        <v>703</v>
      </c>
      <c r="B136" t="s">
        <v>154</v>
      </c>
      <c r="C136" s="18">
        <v>2021</v>
      </c>
      <c r="D136" t="s">
        <v>664</v>
      </c>
      <c r="E136" s="22"/>
      <c r="F136" t="s">
        <v>679</v>
      </c>
      <c r="G136" t="s">
        <v>664</v>
      </c>
      <c r="H136" t="s">
        <v>679</v>
      </c>
    </row>
    <row r="137" spans="1:8" x14ac:dyDescent="0.25">
      <c r="A137" t="s">
        <v>705</v>
      </c>
      <c r="B137" t="s">
        <v>660</v>
      </c>
      <c r="C137" s="18">
        <v>2021</v>
      </c>
      <c r="D137" s="21" t="s">
        <v>624</v>
      </c>
      <c r="E137" s="22"/>
      <c r="F137" s="21"/>
      <c r="G137" t="s">
        <v>624</v>
      </c>
    </row>
    <row r="138" spans="1:8" x14ac:dyDescent="0.25">
      <c r="A138" t="s">
        <v>704</v>
      </c>
      <c r="B138" t="s">
        <v>660</v>
      </c>
      <c r="C138" s="18">
        <v>2021</v>
      </c>
      <c r="D138" s="21" t="s">
        <v>651</v>
      </c>
      <c r="E138" s="22"/>
      <c r="F138" s="21"/>
      <c r="G138" t="s">
        <v>619</v>
      </c>
    </row>
    <row r="139" spans="1:8" x14ac:dyDescent="0.25">
      <c r="A139" t="s">
        <v>659</v>
      </c>
      <c r="B139" t="s">
        <v>376</v>
      </c>
      <c r="C139" s="18">
        <v>2022</v>
      </c>
      <c r="D139" t="s">
        <v>672</v>
      </c>
      <c r="E139" s="22" t="s">
        <v>618</v>
      </c>
      <c r="F139" t="s">
        <v>673</v>
      </c>
      <c r="G139" t="s">
        <v>672</v>
      </c>
      <c r="H139" t="s">
        <v>673</v>
      </c>
    </row>
    <row r="140" spans="1:8" x14ac:dyDescent="0.25">
      <c r="A140" t="s">
        <v>702</v>
      </c>
      <c r="B140" t="s">
        <v>376</v>
      </c>
      <c r="C140" s="18">
        <v>2022</v>
      </c>
      <c r="D140" t="s">
        <v>672</v>
      </c>
      <c r="E140" s="22"/>
      <c r="F140" t="s">
        <v>667</v>
      </c>
      <c r="G140" t="s">
        <v>672</v>
      </c>
      <c r="H140" t="s">
        <v>667</v>
      </c>
    </row>
    <row r="141" spans="1:8" x14ac:dyDescent="0.25">
      <c r="A141" t="s">
        <v>657</v>
      </c>
      <c r="B141" t="s">
        <v>658</v>
      </c>
      <c r="C141" s="18">
        <v>2022</v>
      </c>
      <c r="D141" t="s">
        <v>668</v>
      </c>
      <c r="E141" s="22" t="s">
        <v>613</v>
      </c>
      <c r="F141" t="s">
        <v>664</v>
      </c>
      <c r="G141" t="s">
        <v>668</v>
      </c>
      <c r="H141" t="s">
        <v>664</v>
      </c>
    </row>
    <row r="142" spans="1:8" x14ac:dyDescent="0.25">
      <c r="A142" t="s">
        <v>703</v>
      </c>
      <c r="B142" t="s">
        <v>154</v>
      </c>
      <c r="C142" s="18">
        <v>2022</v>
      </c>
      <c r="D142" t="s">
        <v>664</v>
      </c>
      <c r="E142" s="22"/>
      <c r="F142" t="s">
        <v>680</v>
      </c>
      <c r="G142" t="s">
        <v>664</v>
      </c>
      <c r="H142" t="s">
        <v>680</v>
      </c>
    </row>
    <row r="143" spans="1:8" x14ac:dyDescent="0.25">
      <c r="A143" t="s">
        <v>705</v>
      </c>
      <c r="B143" t="s">
        <v>660</v>
      </c>
      <c r="C143" s="18">
        <v>2022</v>
      </c>
      <c r="D143" s="21" t="s">
        <v>619</v>
      </c>
      <c r="E143" s="22"/>
      <c r="F143" s="21"/>
      <c r="G143" t="s">
        <v>619</v>
      </c>
    </row>
    <row r="144" spans="1:8" x14ac:dyDescent="0.25">
      <c r="A144" t="s">
        <v>704</v>
      </c>
      <c r="B144" t="s">
        <v>660</v>
      </c>
      <c r="C144" s="18">
        <v>2022</v>
      </c>
      <c r="D144" s="21" t="s">
        <v>652</v>
      </c>
      <c r="E144" s="22"/>
      <c r="F144" s="21"/>
      <c r="G144" t="s">
        <v>652</v>
      </c>
    </row>
    <row r="145" spans="1:8" x14ac:dyDescent="0.25">
      <c r="A145" t="s">
        <v>659</v>
      </c>
      <c r="B145" t="s">
        <v>376</v>
      </c>
      <c r="C145" s="18">
        <v>2023</v>
      </c>
      <c r="D145" t="s">
        <v>672</v>
      </c>
      <c r="E145" s="22" t="s">
        <v>608</v>
      </c>
      <c r="F145" t="s">
        <v>677</v>
      </c>
      <c r="G145" t="s">
        <v>672</v>
      </c>
      <c r="H145" t="s">
        <v>677</v>
      </c>
    </row>
    <row r="146" spans="1:8" x14ac:dyDescent="0.25">
      <c r="A146" t="s">
        <v>702</v>
      </c>
      <c r="B146" t="s">
        <v>376</v>
      </c>
      <c r="C146" s="18">
        <v>2023</v>
      </c>
      <c r="D146" t="s">
        <v>672</v>
      </c>
      <c r="E146" s="22"/>
      <c r="F146" t="s">
        <v>677</v>
      </c>
      <c r="G146" t="s">
        <v>672</v>
      </c>
      <c r="H146" t="s">
        <v>677</v>
      </c>
    </row>
    <row r="147" spans="1:8" x14ac:dyDescent="0.25">
      <c r="A147" t="s">
        <v>657</v>
      </c>
      <c r="B147" t="s">
        <v>658</v>
      </c>
      <c r="C147" s="18">
        <v>2023</v>
      </c>
      <c r="D147" t="s">
        <v>664</v>
      </c>
      <c r="E147" s="22" t="s">
        <v>615</v>
      </c>
      <c r="F147" t="s">
        <v>669</v>
      </c>
      <c r="G147" t="s">
        <v>664</v>
      </c>
      <c r="H147" t="s">
        <v>669</v>
      </c>
    </row>
    <row r="148" spans="1:8" x14ac:dyDescent="0.25">
      <c r="A148" t="s">
        <v>703</v>
      </c>
      <c r="B148" t="s">
        <v>154</v>
      </c>
      <c r="C148" s="18">
        <v>2023</v>
      </c>
      <c r="D148" t="s">
        <v>664</v>
      </c>
      <c r="E148" s="22"/>
      <c r="F148" t="s">
        <v>679</v>
      </c>
      <c r="G148" t="s">
        <v>664</v>
      </c>
      <c r="H148" t="s">
        <v>679</v>
      </c>
    </row>
    <row r="149" spans="1:8" x14ac:dyDescent="0.25">
      <c r="A149" t="s">
        <v>705</v>
      </c>
      <c r="B149" t="s">
        <v>660</v>
      </c>
      <c r="C149" s="18">
        <v>2023</v>
      </c>
      <c r="D149" s="21" t="s">
        <v>625</v>
      </c>
      <c r="E149" s="22"/>
      <c r="F149" s="21"/>
      <c r="G149" t="s">
        <v>625</v>
      </c>
    </row>
    <row r="150" spans="1:8" x14ac:dyDescent="0.25">
      <c r="A150" t="s">
        <v>704</v>
      </c>
      <c r="B150" t="s">
        <v>660</v>
      </c>
      <c r="C150" s="18">
        <v>2023</v>
      </c>
      <c r="D150" s="21" t="s">
        <v>626</v>
      </c>
      <c r="E150" s="22"/>
      <c r="F150" s="21"/>
      <c r="G150" t="s">
        <v>626</v>
      </c>
    </row>
    <row r="151" spans="1:8" x14ac:dyDescent="0.25">
      <c r="A151" t="s">
        <v>659</v>
      </c>
      <c r="B151" t="s">
        <v>376</v>
      </c>
      <c r="C151" s="18">
        <v>2024</v>
      </c>
      <c r="D151" t="s">
        <v>677</v>
      </c>
      <c r="E151" s="22" t="s">
        <v>614</v>
      </c>
      <c r="F151" t="s">
        <v>685</v>
      </c>
      <c r="G151" t="s">
        <v>677</v>
      </c>
      <c r="H151" t="s">
        <v>685</v>
      </c>
    </row>
    <row r="152" spans="1:8" x14ac:dyDescent="0.25">
      <c r="A152" t="s">
        <v>702</v>
      </c>
      <c r="B152" t="s">
        <v>376</v>
      </c>
      <c r="C152" s="18">
        <v>2024</v>
      </c>
      <c r="D152" t="s">
        <v>672</v>
      </c>
      <c r="E152" s="22"/>
      <c r="F152" t="s">
        <v>673</v>
      </c>
      <c r="G152" t="s">
        <v>672</v>
      </c>
      <c r="H152" t="s">
        <v>673</v>
      </c>
    </row>
    <row r="153" spans="1:8" x14ac:dyDescent="0.25">
      <c r="A153" t="s">
        <v>657</v>
      </c>
      <c r="B153" t="s">
        <v>658</v>
      </c>
      <c r="C153" s="18">
        <v>2024</v>
      </c>
      <c r="D153" t="s">
        <v>664</v>
      </c>
      <c r="E153" s="22" t="s">
        <v>594</v>
      </c>
      <c r="F153" t="s">
        <v>668</v>
      </c>
      <c r="G153" t="s">
        <v>664</v>
      </c>
      <c r="H153" t="s">
        <v>668</v>
      </c>
    </row>
    <row r="154" spans="1:8" x14ac:dyDescent="0.25">
      <c r="A154" t="s">
        <v>703</v>
      </c>
      <c r="B154" t="s">
        <v>154</v>
      </c>
      <c r="C154" s="18">
        <v>2024</v>
      </c>
      <c r="D154" t="s">
        <v>664</v>
      </c>
      <c r="E154" s="22"/>
      <c r="F154" t="s">
        <v>679</v>
      </c>
      <c r="G154" t="s">
        <v>664</v>
      </c>
      <c r="H154" t="s">
        <v>679</v>
      </c>
    </row>
    <row r="155" spans="1:8" x14ac:dyDescent="0.25">
      <c r="A155" t="s">
        <v>705</v>
      </c>
      <c r="B155" t="s">
        <v>660</v>
      </c>
      <c r="C155" s="18">
        <v>2024</v>
      </c>
      <c r="D155" s="21" t="s">
        <v>627</v>
      </c>
      <c r="E155" s="22"/>
      <c r="F155" s="21"/>
      <c r="G155" t="s">
        <v>627</v>
      </c>
    </row>
    <row r="156" spans="1:8" x14ac:dyDescent="0.25">
      <c r="A156" t="s">
        <v>704</v>
      </c>
      <c r="B156" t="s">
        <v>660</v>
      </c>
      <c r="C156" s="18">
        <v>2024</v>
      </c>
      <c r="D156" s="21" t="s">
        <v>627</v>
      </c>
      <c r="E156" s="22"/>
      <c r="F156" s="21"/>
      <c r="G156" t="s">
        <v>627</v>
      </c>
    </row>
    <row r="157" spans="1:8" x14ac:dyDescent="0.25">
      <c r="A157" t="s">
        <v>659</v>
      </c>
      <c r="B157" t="s">
        <v>376</v>
      </c>
      <c r="C157" s="18">
        <v>2025</v>
      </c>
      <c r="D157" t="s">
        <v>672</v>
      </c>
      <c r="E157" s="22" t="s">
        <v>617</v>
      </c>
      <c r="F157" t="s">
        <v>677</v>
      </c>
      <c r="G157" t="s">
        <v>672</v>
      </c>
      <c r="H157" t="s">
        <v>677</v>
      </c>
    </row>
    <row r="158" spans="1:8" x14ac:dyDescent="0.25">
      <c r="A158" t="s">
        <v>702</v>
      </c>
      <c r="B158" t="s">
        <v>376</v>
      </c>
      <c r="C158" s="18">
        <v>2025</v>
      </c>
      <c r="D158" t="s">
        <v>672</v>
      </c>
      <c r="E158" s="22"/>
      <c r="F158" t="s">
        <v>667</v>
      </c>
      <c r="G158" t="s">
        <v>672</v>
      </c>
      <c r="H158" t="s">
        <v>667</v>
      </c>
    </row>
    <row r="159" spans="1:8" x14ac:dyDescent="0.25">
      <c r="A159" t="s">
        <v>657</v>
      </c>
      <c r="B159" t="s">
        <v>658</v>
      </c>
      <c r="C159" s="18">
        <v>2025</v>
      </c>
      <c r="D159" t="s">
        <v>667</v>
      </c>
      <c r="E159" s="22" t="s">
        <v>608</v>
      </c>
      <c r="F159" t="s">
        <v>664</v>
      </c>
      <c r="G159" t="s">
        <v>667</v>
      </c>
      <c r="H159" t="s">
        <v>664</v>
      </c>
    </row>
    <row r="160" spans="1:8" x14ac:dyDescent="0.25">
      <c r="A160" t="s">
        <v>703</v>
      </c>
      <c r="B160" t="s">
        <v>154</v>
      </c>
      <c r="C160" s="18">
        <v>2025</v>
      </c>
      <c r="D160" t="s">
        <v>664</v>
      </c>
      <c r="E160" s="22"/>
      <c r="F160" t="s">
        <v>679</v>
      </c>
      <c r="G160" t="s">
        <v>664</v>
      </c>
      <c r="H160" t="s">
        <v>679</v>
      </c>
    </row>
    <row r="161" spans="1:8" x14ac:dyDescent="0.25">
      <c r="A161" t="s">
        <v>705</v>
      </c>
      <c r="B161" t="s">
        <v>660</v>
      </c>
      <c r="C161" s="18">
        <v>2025</v>
      </c>
      <c r="D161" s="21" t="s">
        <v>653</v>
      </c>
      <c r="E161" s="22"/>
      <c r="F161" s="21"/>
      <c r="G161" t="s">
        <v>625</v>
      </c>
    </row>
    <row r="162" spans="1:8" x14ac:dyDescent="0.25">
      <c r="A162" t="s">
        <v>704</v>
      </c>
      <c r="B162" t="s">
        <v>660</v>
      </c>
      <c r="C162" s="18">
        <v>2025</v>
      </c>
      <c r="D162" s="21" t="s">
        <v>628</v>
      </c>
      <c r="E162" s="22"/>
      <c r="F162" s="21"/>
      <c r="G162" t="s">
        <v>628</v>
      </c>
    </row>
    <row r="163" spans="1:8" x14ac:dyDescent="0.25">
      <c r="A163" t="s">
        <v>659</v>
      </c>
      <c r="B163" t="s">
        <v>376</v>
      </c>
      <c r="C163" s="18">
        <v>2026</v>
      </c>
      <c r="D163" t="s">
        <v>673</v>
      </c>
      <c r="E163" s="22" t="s">
        <v>614</v>
      </c>
      <c r="F163" t="s">
        <v>686</v>
      </c>
      <c r="G163" t="s">
        <v>673</v>
      </c>
      <c r="H163" t="s">
        <v>686</v>
      </c>
    </row>
    <row r="164" spans="1:8" x14ac:dyDescent="0.25">
      <c r="A164" t="s">
        <v>702</v>
      </c>
      <c r="B164" t="s">
        <v>376</v>
      </c>
      <c r="C164" s="18">
        <v>2026</v>
      </c>
      <c r="D164" t="s">
        <v>673</v>
      </c>
      <c r="E164" s="22"/>
      <c r="F164" t="s">
        <v>667</v>
      </c>
      <c r="G164" t="s">
        <v>673</v>
      </c>
      <c r="H164" t="s">
        <v>667</v>
      </c>
    </row>
    <row r="165" spans="1:8" x14ac:dyDescent="0.25">
      <c r="A165" t="s">
        <v>657</v>
      </c>
      <c r="B165" t="s">
        <v>658</v>
      </c>
      <c r="C165" s="18">
        <v>2026</v>
      </c>
      <c r="D165" t="s">
        <v>664</v>
      </c>
      <c r="E165" s="22" t="s">
        <v>614</v>
      </c>
      <c r="F165" t="s">
        <v>668</v>
      </c>
      <c r="G165" t="s">
        <v>664</v>
      </c>
      <c r="H165" t="s">
        <v>668</v>
      </c>
    </row>
    <row r="166" spans="1:8" x14ac:dyDescent="0.25">
      <c r="A166" t="s">
        <v>703</v>
      </c>
      <c r="B166" t="s">
        <v>154</v>
      </c>
      <c r="C166" s="18">
        <v>2026</v>
      </c>
      <c r="D166" t="s">
        <v>664</v>
      </c>
      <c r="E166" s="22"/>
      <c r="F166" t="s">
        <v>679</v>
      </c>
      <c r="G166" t="s">
        <v>664</v>
      </c>
      <c r="H166" t="s">
        <v>679</v>
      </c>
    </row>
    <row r="167" spans="1:8" x14ac:dyDescent="0.25">
      <c r="A167" t="s">
        <v>705</v>
      </c>
      <c r="B167" t="s">
        <v>660</v>
      </c>
      <c r="C167" s="18">
        <v>2026</v>
      </c>
      <c r="D167" s="21"/>
      <c r="E167" s="22"/>
      <c r="F167" s="21"/>
    </row>
    <row r="168" spans="1:8" x14ac:dyDescent="0.25">
      <c r="A168" t="s">
        <v>704</v>
      </c>
      <c r="B168" t="s">
        <v>660</v>
      </c>
      <c r="C168" s="18">
        <v>2026</v>
      </c>
      <c r="D168" s="21"/>
      <c r="E168" s="22"/>
      <c r="F168" s="21"/>
    </row>
    <row r="169" spans="1:8" x14ac:dyDescent="0.25">
      <c r="A169" t="s">
        <v>707</v>
      </c>
      <c r="C169" s="18">
        <v>2026</v>
      </c>
      <c r="D169" t="s">
        <v>667</v>
      </c>
      <c r="E169" s="22" t="s">
        <v>618</v>
      </c>
      <c r="F169" s="21" t="s">
        <v>708</v>
      </c>
      <c r="G169" t="s">
        <v>667</v>
      </c>
      <c r="H169" s="21" t="s">
        <v>708</v>
      </c>
    </row>
    <row r="170" spans="1:8" x14ac:dyDescent="0.25">
      <c r="C170" s="18"/>
      <c r="D170" s="21"/>
      <c r="E170" s="22"/>
      <c r="F170" s="21"/>
    </row>
    <row r="171" spans="1:8" x14ac:dyDescent="0.25">
      <c r="C171" s="18"/>
      <c r="D171" s="21"/>
      <c r="E171" s="22"/>
      <c r="F171" s="21"/>
    </row>
    <row r="172" spans="1:8" x14ac:dyDescent="0.25">
      <c r="C172" s="18"/>
      <c r="D172" s="21"/>
      <c r="E172" s="22"/>
      <c r="F172" s="21"/>
    </row>
    <row r="173" spans="1:8" x14ac:dyDescent="0.25">
      <c r="C173" s="18"/>
      <c r="D173" s="21"/>
      <c r="E173" s="22"/>
      <c r="F173" s="21"/>
    </row>
    <row r="174" spans="1:8" x14ac:dyDescent="0.25">
      <c r="C174" s="18"/>
      <c r="D174" s="21"/>
      <c r="E174" s="22"/>
      <c r="F174" s="21"/>
    </row>
    <row r="175" spans="1:8" x14ac:dyDescent="0.25">
      <c r="C175" s="18"/>
      <c r="D175" s="21"/>
      <c r="E175" s="22"/>
      <c r="F175" s="21"/>
    </row>
    <row r="176" spans="1:8" x14ac:dyDescent="0.25">
      <c r="C176" s="18"/>
      <c r="D176" s="21"/>
      <c r="E176" s="22"/>
      <c r="F176" s="21"/>
    </row>
    <row r="177" spans="3:6" x14ac:dyDescent="0.25">
      <c r="C177" s="18"/>
      <c r="D177" s="21"/>
      <c r="E177" s="22"/>
      <c r="F177" s="21"/>
    </row>
    <row r="178" spans="3:6" x14ac:dyDescent="0.25">
      <c r="C178" s="18"/>
      <c r="D178" s="21"/>
      <c r="E178" s="22"/>
      <c r="F178" s="2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679E-4ACC-4B50-9566-34CA19423BF9}">
  <dimension ref="A1:AA368"/>
  <sheetViews>
    <sheetView workbookViewId="0">
      <selection activeCell="T20" sqref="T20"/>
    </sheetView>
  </sheetViews>
  <sheetFormatPr defaultRowHeight="15" x14ac:dyDescent="0.25"/>
  <cols>
    <col min="1" max="1" width="9.7109375" customWidth="1"/>
    <col min="2" max="2" width="28.5703125" customWidth="1"/>
    <col min="3" max="3" width="12.5703125" customWidth="1"/>
    <col min="4" max="4" width="5.140625" bestFit="1" customWidth="1"/>
    <col min="5" max="5" width="4.28515625" bestFit="1" customWidth="1"/>
    <col min="6" max="6" width="8.42578125" bestFit="1" customWidth="1"/>
    <col min="7" max="7" width="5.85546875" bestFit="1" customWidth="1"/>
    <col min="8" max="9" width="7.7109375" bestFit="1" customWidth="1"/>
    <col min="10" max="10" width="6.42578125" customWidth="1"/>
    <col min="11" max="11" width="7" style="29" customWidth="1"/>
    <col min="12" max="12" width="7.42578125" style="29" customWidth="1"/>
    <col min="13" max="13" width="7.140625" style="31" customWidth="1"/>
    <col min="14" max="14" width="7.5703125" style="31" customWidth="1"/>
    <col min="15" max="15" width="8.28515625" style="29" customWidth="1"/>
    <col min="16" max="16" width="8.7109375" style="29" customWidth="1"/>
    <col min="17" max="17" width="9.140625" style="29"/>
    <col min="18" max="18" width="21.140625" bestFit="1" customWidth="1"/>
    <col min="25" max="25" width="21.140625" bestFit="1" customWidth="1"/>
    <col min="27" max="27" width="21.140625" bestFit="1" customWidth="1"/>
  </cols>
  <sheetData>
    <row r="1" spans="1:27" ht="18.75" x14ac:dyDescent="0.3">
      <c r="A1" s="23"/>
    </row>
    <row r="2" spans="1:27" x14ac:dyDescent="0.25">
      <c r="Y2" t="s">
        <v>749</v>
      </c>
      <c r="AA2" t="s">
        <v>750</v>
      </c>
    </row>
    <row r="3" spans="1:27" x14ac:dyDescent="0.25">
      <c r="A3" s="28" t="s">
        <v>27</v>
      </c>
      <c r="B3" s="28" t="s">
        <v>1</v>
      </c>
      <c r="C3" s="28" t="s">
        <v>725</v>
      </c>
      <c r="D3" s="28" t="s">
        <v>3</v>
      </c>
      <c r="E3" s="28" t="s">
        <v>4</v>
      </c>
      <c r="F3" s="28" t="s">
        <v>726</v>
      </c>
      <c r="G3" s="28" t="s">
        <v>727</v>
      </c>
      <c r="H3" s="28" t="s">
        <v>728</v>
      </c>
      <c r="I3" s="28" t="s">
        <v>740</v>
      </c>
      <c r="J3" s="28" t="s">
        <v>8</v>
      </c>
      <c r="K3" s="30" t="s">
        <v>746</v>
      </c>
      <c r="L3" s="30" t="s">
        <v>747</v>
      </c>
      <c r="M3" s="32" t="s">
        <v>743</v>
      </c>
      <c r="N3" s="32" t="s">
        <v>744</v>
      </c>
      <c r="O3" s="30" t="s">
        <v>742</v>
      </c>
      <c r="P3" s="30" t="s">
        <v>745</v>
      </c>
      <c r="Q3" s="30" t="s">
        <v>741</v>
      </c>
      <c r="R3" s="28" t="s">
        <v>706</v>
      </c>
      <c r="Y3" t="s">
        <v>748</v>
      </c>
      <c r="AA3" t="s">
        <v>722</v>
      </c>
    </row>
    <row r="4" spans="1:27" x14ac:dyDescent="0.25">
      <c r="A4" s="27">
        <v>2025</v>
      </c>
      <c r="B4" t="s">
        <v>719</v>
      </c>
      <c r="C4" t="s">
        <v>729</v>
      </c>
      <c r="D4" s="27">
        <v>30</v>
      </c>
      <c r="E4" s="27">
        <v>14</v>
      </c>
      <c r="F4" s="24">
        <v>0.68200000000000005</v>
      </c>
      <c r="G4" s="26">
        <v>0</v>
      </c>
      <c r="H4" s="25">
        <v>84.4</v>
      </c>
      <c r="I4" s="25">
        <v>76.8</v>
      </c>
      <c r="J4" t="s">
        <v>30</v>
      </c>
      <c r="K4" s="29" t="s">
        <v>30</v>
      </c>
      <c r="M4" s="33">
        <v>1</v>
      </c>
      <c r="N4" s="33">
        <v>2</v>
      </c>
      <c r="R4" s="29" t="str">
        <f>VLOOKUP(WNBA_TeamSeasons[[#This Row],[Team]],$Y$3:$Y$17,1,FALSE)</f>
        <v>Atlanta Dream</v>
      </c>
      <c r="Y4" t="s">
        <v>719</v>
      </c>
      <c r="AA4" t="s">
        <v>724</v>
      </c>
    </row>
    <row r="5" spans="1:27" x14ac:dyDescent="0.25">
      <c r="A5" s="27">
        <v>2025</v>
      </c>
      <c r="B5" t="s">
        <v>711</v>
      </c>
      <c r="C5" t="s">
        <v>729</v>
      </c>
      <c r="D5" s="27">
        <v>27</v>
      </c>
      <c r="E5" s="27">
        <v>17</v>
      </c>
      <c r="F5" s="24">
        <v>0.61399999999999999</v>
      </c>
      <c r="G5" s="26">
        <v>3</v>
      </c>
      <c r="H5" s="25">
        <v>84.4</v>
      </c>
      <c r="I5" s="25">
        <v>80.3</v>
      </c>
      <c r="J5" t="s">
        <v>30</v>
      </c>
      <c r="M5" s="33">
        <v>1</v>
      </c>
      <c r="N5" s="33">
        <v>2</v>
      </c>
      <c r="R5" s="29" t="str">
        <f>VLOOKUP(WNBA_TeamSeasons[[#This Row],[Team]],$Y$3:$Y$17,1,FALSE)</f>
        <v>New York Liberty</v>
      </c>
      <c r="Y5" t="s">
        <v>714</v>
      </c>
      <c r="AA5" t="s">
        <v>723</v>
      </c>
    </row>
    <row r="6" spans="1:27" x14ac:dyDescent="0.25">
      <c r="A6" s="27">
        <v>2025</v>
      </c>
      <c r="B6" t="s">
        <v>718</v>
      </c>
      <c r="C6" t="s">
        <v>729</v>
      </c>
      <c r="D6" s="27">
        <v>24</v>
      </c>
      <c r="E6" s="27">
        <v>20</v>
      </c>
      <c r="F6" s="24">
        <v>0.54500000000000004</v>
      </c>
      <c r="G6" s="26">
        <v>6</v>
      </c>
      <c r="H6" s="25">
        <v>84.9</v>
      </c>
      <c r="I6" s="25">
        <v>81.5</v>
      </c>
      <c r="J6" t="s">
        <v>30</v>
      </c>
      <c r="M6" s="33">
        <v>4</v>
      </c>
      <c r="N6" s="33">
        <v>4</v>
      </c>
      <c r="O6" s="29" t="s">
        <v>30</v>
      </c>
      <c r="R6" s="29" t="str">
        <f>VLOOKUP(WNBA_TeamSeasons[[#This Row],[Team]],$Y$3:$Y$17,1,FALSE)</f>
        <v>Indiana Fever</v>
      </c>
      <c r="Y6" t="s">
        <v>713</v>
      </c>
      <c r="AA6" t="s">
        <v>735</v>
      </c>
    </row>
    <row r="7" spans="1:27" x14ac:dyDescent="0.25">
      <c r="A7" s="27">
        <v>2025</v>
      </c>
      <c r="B7" t="s">
        <v>716</v>
      </c>
      <c r="C7" t="s">
        <v>729</v>
      </c>
      <c r="D7" s="27">
        <v>16</v>
      </c>
      <c r="E7" s="27">
        <v>28</v>
      </c>
      <c r="F7" s="24">
        <v>0.36399999999999999</v>
      </c>
      <c r="G7" s="26">
        <v>14</v>
      </c>
      <c r="H7" s="25">
        <v>77.099999999999994</v>
      </c>
      <c r="I7" s="25">
        <v>81.599999999999994</v>
      </c>
      <c r="M7" s="33">
        <v>0</v>
      </c>
      <c r="N7" s="33">
        <v>0</v>
      </c>
      <c r="R7" s="29" t="str">
        <f>VLOOKUP(WNBA_TeamSeasons[[#This Row],[Team]],$Y$3:$Y$17,1,FALSE)</f>
        <v>Washington Mystics</v>
      </c>
      <c r="Y7" t="s">
        <v>718</v>
      </c>
      <c r="AA7" t="s">
        <v>737</v>
      </c>
    </row>
    <row r="8" spans="1:27" x14ac:dyDescent="0.25">
      <c r="A8" s="27">
        <v>2025</v>
      </c>
      <c r="B8" t="s">
        <v>713</v>
      </c>
      <c r="C8" t="s">
        <v>729</v>
      </c>
      <c r="D8" s="27">
        <v>11</v>
      </c>
      <c r="E8" s="27">
        <v>33</v>
      </c>
      <c r="F8" s="24">
        <v>0.25</v>
      </c>
      <c r="G8" s="26">
        <v>19</v>
      </c>
      <c r="H8" s="25">
        <v>75.8</v>
      </c>
      <c r="I8" s="25">
        <v>86</v>
      </c>
      <c r="M8" s="33">
        <v>0</v>
      </c>
      <c r="N8" s="33">
        <v>0</v>
      </c>
      <c r="R8" s="29" t="str">
        <f>VLOOKUP(WNBA_TeamSeasons[[#This Row],[Team]],$Y$3:$Y$17,1,FALSE)</f>
        <v>Connecticut Sun</v>
      </c>
      <c r="Y8" t="s">
        <v>711</v>
      </c>
    </row>
    <row r="9" spans="1:27" x14ac:dyDescent="0.25">
      <c r="A9" s="27">
        <v>2025</v>
      </c>
      <c r="B9" t="s">
        <v>714</v>
      </c>
      <c r="C9" t="s">
        <v>729</v>
      </c>
      <c r="D9" s="27">
        <v>10</v>
      </c>
      <c r="E9" s="27">
        <v>34</v>
      </c>
      <c r="F9" s="24">
        <v>0.22700000000000001</v>
      </c>
      <c r="G9" s="26">
        <v>20</v>
      </c>
      <c r="H9" s="25">
        <v>75.8</v>
      </c>
      <c r="I9" s="25">
        <v>85.8</v>
      </c>
      <c r="M9" s="33">
        <v>0</v>
      </c>
      <c r="N9" s="33">
        <v>0</v>
      </c>
      <c r="R9" s="29" t="str">
        <f>VLOOKUP(WNBA_TeamSeasons[[#This Row],[Team]],$Y$3:$Y$17,1,FALSE)</f>
        <v>Chicago Sky</v>
      </c>
      <c r="Y9" t="s">
        <v>716</v>
      </c>
    </row>
    <row r="10" spans="1:27" x14ac:dyDescent="0.25">
      <c r="A10" s="27">
        <v>2025</v>
      </c>
      <c r="B10" t="s">
        <v>712</v>
      </c>
      <c r="C10" t="s">
        <v>730</v>
      </c>
      <c r="D10" s="27">
        <v>34</v>
      </c>
      <c r="E10" s="27">
        <v>10</v>
      </c>
      <c r="F10" s="24">
        <v>0.77300000000000002</v>
      </c>
      <c r="G10" s="26">
        <v>0</v>
      </c>
      <c r="H10" s="25">
        <v>86.1</v>
      </c>
      <c r="I10" s="25">
        <v>76.7</v>
      </c>
      <c r="J10" t="s">
        <v>30</v>
      </c>
      <c r="K10" s="29" t="s">
        <v>30</v>
      </c>
      <c r="L10" s="29" t="s">
        <v>30</v>
      </c>
      <c r="M10" s="33">
        <v>3</v>
      </c>
      <c r="N10" s="33">
        <v>3</v>
      </c>
      <c r="O10" s="29" t="s">
        <v>30</v>
      </c>
      <c r="R10" s="29" t="str">
        <f>VLOOKUP(WNBA_TeamSeasons[[#This Row],[Team]],$Y$3:$Y$17,1,FALSE)</f>
        <v>Minnesota Lynx</v>
      </c>
      <c r="Y10" t="s">
        <v>732</v>
      </c>
    </row>
    <row r="11" spans="1:27" x14ac:dyDescent="0.25">
      <c r="A11" s="27">
        <v>2025</v>
      </c>
      <c r="B11" t="s">
        <v>709</v>
      </c>
      <c r="C11" t="s">
        <v>730</v>
      </c>
      <c r="D11" s="27">
        <v>30</v>
      </c>
      <c r="E11" s="27">
        <v>14</v>
      </c>
      <c r="F11" s="24">
        <v>0.68200000000000005</v>
      </c>
      <c r="G11" s="26">
        <v>4</v>
      </c>
      <c r="H11" s="25">
        <v>83.6</v>
      </c>
      <c r="I11" s="25">
        <v>80.7</v>
      </c>
      <c r="J11" t="s">
        <v>30</v>
      </c>
      <c r="M11" s="33">
        <v>9</v>
      </c>
      <c r="N11" s="33">
        <v>3</v>
      </c>
      <c r="O11" s="29" t="s">
        <v>30</v>
      </c>
      <c r="P11" s="29" t="s">
        <v>30</v>
      </c>
      <c r="Q11" s="29" t="s">
        <v>30</v>
      </c>
      <c r="R11" s="29" t="str">
        <f>VLOOKUP(WNBA_TeamSeasons[[#This Row],[Team]],$Y$3:$Y$17,1,FALSE)</f>
        <v>Las Vegas Aces</v>
      </c>
      <c r="Y11" t="s">
        <v>731</v>
      </c>
    </row>
    <row r="12" spans="1:27" x14ac:dyDescent="0.25">
      <c r="A12" s="27">
        <v>2025</v>
      </c>
      <c r="B12" t="s">
        <v>710</v>
      </c>
      <c r="C12" t="s">
        <v>730</v>
      </c>
      <c r="D12" s="27">
        <v>27</v>
      </c>
      <c r="E12" s="27">
        <v>17</v>
      </c>
      <c r="F12" s="24">
        <v>0.61399999999999999</v>
      </c>
      <c r="G12" s="26">
        <v>7</v>
      </c>
      <c r="H12" s="25">
        <v>82.8</v>
      </c>
      <c r="I12" s="25">
        <v>80.099999999999994</v>
      </c>
      <c r="J12" t="s">
        <v>30</v>
      </c>
      <c r="M12" s="33">
        <v>5</v>
      </c>
      <c r="N12" s="33">
        <v>6</v>
      </c>
      <c r="O12" s="29" t="s">
        <v>30</v>
      </c>
      <c r="P12" s="29" t="s">
        <v>30</v>
      </c>
      <c r="R12" s="29" t="str">
        <f>VLOOKUP(WNBA_TeamSeasons[[#This Row],[Team]],$Y$3:$Y$17,1,FALSE)</f>
        <v>Phoenix Mercury</v>
      </c>
      <c r="Y12" t="s">
        <v>709</v>
      </c>
    </row>
    <row r="13" spans="1:27" x14ac:dyDescent="0.25">
      <c r="A13" s="27">
        <v>2025</v>
      </c>
      <c r="B13" t="s">
        <v>731</v>
      </c>
      <c r="C13" t="s">
        <v>730</v>
      </c>
      <c r="D13" s="27">
        <v>23</v>
      </c>
      <c r="E13" s="27">
        <v>21</v>
      </c>
      <c r="F13" s="24">
        <v>0.52300000000000002</v>
      </c>
      <c r="G13" s="26">
        <v>11</v>
      </c>
      <c r="H13" s="25">
        <v>77.7</v>
      </c>
      <c r="I13" s="25">
        <v>76.3</v>
      </c>
      <c r="J13" t="s">
        <v>30</v>
      </c>
      <c r="M13" s="33">
        <v>0</v>
      </c>
      <c r="N13" s="33">
        <v>2</v>
      </c>
      <c r="R13" s="29" t="str">
        <f>VLOOKUP(WNBA_TeamSeasons[[#This Row],[Team]],$Y$3:$Y$17,1,FALSE)</f>
        <v>Golden State Valkyries</v>
      </c>
      <c r="Y13" t="s">
        <v>717</v>
      </c>
    </row>
    <row r="14" spans="1:27" x14ac:dyDescent="0.25">
      <c r="A14" s="27">
        <v>2025</v>
      </c>
      <c r="B14" t="s">
        <v>715</v>
      </c>
      <c r="C14" t="s">
        <v>730</v>
      </c>
      <c r="D14" s="27">
        <v>23</v>
      </c>
      <c r="E14" s="27">
        <v>21</v>
      </c>
      <c r="F14" s="24">
        <v>0.52300000000000002</v>
      </c>
      <c r="G14" s="26">
        <v>11</v>
      </c>
      <c r="H14" s="25">
        <v>82.1</v>
      </c>
      <c r="I14" s="25">
        <v>80.099999999999994</v>
      </c>
      <c r="J14" t="s">
        <v>30</v>
      </c>
      <c r="M14" s="33">
        <v>1</v>
      </c>
      <c r="N14" s="33">
        <v>2</v>
      </c>
      <c r="R14" s="29" t="str">
        <f>VLOOKUP(WNBA_TeamSeasons[[#This Row],[Team]],$Y$3:$Y$17,1,FALSE)</f>
        <v>Seattle Storm</v>
      </c>
      <c r="Y14" t="s">
        <v>712</v>
      </c>
    </row>
    <row r="15" spans="1:27" x14ac:dyDescent="0.25">
      <c r="A15" s="27">
        <v>2025</v>
      </c>
      <c r="B15" t="s">
        <v>717</v>
      </c>
      <c r="C15" t="s">
        <v>730</v>
      </c>
      <c r="D15" s="27">
        <v>21</v>
      </c>
      <c r="E15" s="27">
        <v>23</v>
      </c>
      <c r="F15" s="24">
        <v>0.47699999999999998</v>
      </c>
      <c r="G15" s="26">
        <v>13</v>
      </c>
      <c r="H15" s="25">
        <v>85.7</v>
      </c>
      <c r="I15" s="25">
        <v>88.2</v>
      </c>
      <c r="M15" s="33">
        <v>0</v>
      </c>
      <c r="N15" s="33">
        <v>0</v>
      </c>
      <c r="R15" s="29" t="str">
        <f>VLOOKUP(WNBA_TeamSeasons[[#This Row],[Team]],$Y$3:$Y$17,1,FALSE)</f>
        <v>Los Angeles Sparks</v>
      </c>
      <c r="Y15" t="s">
        <v>710</v>
      </c>
    </row>
    <row r="16" spans="1:27" x14ac:dyDescent="0.25">
      <c r="A16" s="27">
        <v>2025</v>
      </c>
      <c r="B16" t="s">
        <v>732</v>
      </c>
      <c r="C16" t="s">
        <v>730</v>
      </c>
      <c r="D16" s="27">
        <v>10</v>
      </c>
      <c r="E16" s="27">
        <v>34</v>
      </c>
      <c r="F16" s="24">
        <v>0.22700000000000001</v>
      </c>
      <c r="G16" s="26">
        <v>24</v>
      </c>
      <c r="H16" s="25">
        <v>81.7</v>
      </c>
      <c r="I16" s="25">
        <v>88</v>
      </c>
      <c r="M16" s="33">
        <v>0</v>
      </c>
      <c r="N16" s="33">
        <v>0</v>
      </c>
      <c r="R16" s="29" t="str">
        <f>VLOOKUP(WNBA_TeamSeasons[[#This Row],[Team]],$Y$3:$Y$17,1,FALSE)</f>
        <v>Dallas Wings</v>
      </c>
      <c r="Y16" t="s">
        <v>739</v>
      </c>
    </row>
    <row r="17" spans="1:25" x14ac:dyDescent="0.25">
      <c r="A17" s="27">
        <v>2024</v>
      </c>
      <c r="B17" t="s">
        <v>711</v>
      </c>
      <c r="C17" t="s">
        <v>729</v>
      </c>
      <c r="D17" s="27">
        <v>32</v>
      </c>
      <c r="E17" s="27">
        <v>8</v>
      </c>
      <c r="F17" s="24">
        <v>0.8</v>
      </c>
      <c r="G17" s="26">
        <v>0</v>
      </c>
      <c r="H17" s="25">
        <v>85.6</v>
      </c>
      <c r="I17" s="25">
        <v>76.5</v>
      </c>
      <c r="J17" t="s">
        <v>30</v>
      </c>
      <c r="K17" s="29" t="s">
        <v>30</v>
      </c>
      <c r="L17" s="29" t="s">
        <v>30</v>
      </c>
      <c r="M17" s="33">
        <v>8</v>
      </c>
      <c r="N17" s="33">
        <v>3</v>
      </c>
      <c r="O17" s="29" t="s">
        <v>30</v>
      </c>
      <c r="P17" s="29" t="s">
        <v>30</v>
      </c>
      <c r="Q17" s="29" t="s">
        <v>30</v>
      </c>
      <c r="R17" s="29" t="str">
        <f>VLOOKUP(WNBA_TeamSeasons[[#This Row],[Team]],$Y$3:$Y$17,1,FALSE)</f>
        <v>New York Liberty</v>
      </c>
      <c r="Y17" t="s">
        <v>715</v>
      </c>
    </row>
    <row r="18" spans="1:25" x14ac:dyDescent="0.25">
      <c r="A18" s="27">
        <v>2024</v>
      </c>
      <c r="B18" t="s">
        <v>713</v>
      </c>
      <c r="C18" t="s">
        <v>729</v>
      </c>
      <c r="D18" s="27">
        <v>28</v>
      </c>
      <c r="E18" s="27">
        <v>12</v>
      </c>
      <c r="F18" s="24">
        <v>0.7</v>
      </c>
      <c r="G18" s="26">
        <v>4</v>
      </c>
      <c r="H18" s="25">
        <v>80.099999999999994</v>
      </c>
      <c r="I18" s="25">
        <v>73.599999999999994</v>
      </c>
      <c r="J18" t="s">
        <v>30</v>
      </c>
      <c r="M18" s="33">
        <v>4</v>
      </c>
      <c r="N18" s="33">
        <v>3</v>
      </c>
      <c r="O18" s="29" t="s">
        <v>30</v>
      </c>
      <c r="R18" s="29" t="str">
        <f>VLOOKUP(WNBA_TeamSeasons[[#This Row],[Team]],$Y$3:$Y$17,1,FALSE)</f>
        <v>Connecticut Sun</v>
      </c>
    </row>
    <row r="19" spans="1:25" x14ac:dyDescent="0.25">
      <c r="A19" s="27">
        <v>2024</v>
      </c>
      <c r="B19" t="s">
        <v>718</v>
      </c>
      <c r="C19" t="s">
        <v>729</v>
      </c>
      <c r="D19" s="27">
        <v>20</v>
      </c>
      <c r="E19" s="27">
        <v>20</v>
      </c>
      <c r="F19" s="24">
        <v>0.5</v>
      </c>
      <c r="G19" s="26">
        <v>12</v>
      </c>
      <c r="H19" s="25">
        <v>85</v>
      </c>
      <c r="I19" s="25">
        <v>87.7</v>
      </c>
      <c r="J19" t="s">
        <v>30</v>
      </c>
      <c r="M19" s="33">
        <v>0</v>
      </c>
      <c r="N19" s="33">
        <v>2</v>
      </c>
      <c r="R19" s="29" t="str">
        <f>VLOOKUP(WNBA_TeamSeasons[[#This Row],[Team]],$Y$3:$Y$17,1,FALSE)</f>
        <v>Indiana Fever</v>
      </c>
    </row>
    <row r="20" spans="1:25" x14ac:dyDescent="0.25">
      <c r="A20" s="27">
        <v>2024</v>
      </c>
      <c r="B20" t="s">
        <v>719</v>
      </c>
      <c r="C20" t="s">
        <v>729</v>
      </c>
      <c r="D20" s="27">
        <v>15</v>
      </c>
      <c r="E20" s="27">
        <v>25</v>
      </c>
      <c r="F20" s="24">
        <v>0.375</v>
      </c>
      <c r="G20" s="26">
        <v>17</v>
      </c>
      <c r="H20" s="25">
        <v>77</v>
      </c>
      <c r="I20" s="25">
        <v>79.8</v>
      </c>
      <c r="J20" t="s">
        <v>30</v>
      </c>
      <c r="M20" s="33">
        <v>0</v>
      </c>
      <c r="N20" s="33">
        <v>2</v>
      </c>
      <c r="R20" s="29" t="str">
        <f>VLOOKUP(WNBA_TeamSeasons[[#This Row],[Team]],$Y$3:$Y$17,1,FALSE)</f>
        <v>Atlanta Dream</v>
      </c>
    </row>
    <row r="21" spans="1:25" x14ac:dyDescent="0.25">
      <c r="A21" s="27">
        <v>2024</v>
      </c>
      <c r="B21" t="s">
        <v>716</v>
      </c>
      <c r="C21" t="s">
        <v>729</v>
      </c>
      <c r="D21" s="27">
        <v>14</v>
      </c>
      <c r="E21" s="27">
        <v>26</v>
      </c>
      <c r="F21" s="24">
        <v>0.35</v>
      </c>
      <c r="G21" s="26">
        <v>18</v>
      </c>
      <c r="H21" s="25">
        <v>79.3</v>
      </c>
      <c r="I21" s="25">
        <v>82.3</v>
      </c>
      <c r="M21" s="33">
        <v>0</v>
      </c>
      <c r="N21" s="33">
        <v>0</v>
      </c>
      <c r="R21" s="29" t="str">
        <f>VLOOKUP(WNBA_TeamSeasons[[#This Row],[Team]],$Y$3:$Y$17,1,FALSE)</f>
        <v>Washington Mystics</v>
      </c>
    </row>
    <row r="22" spans="1:25" x14ac:dyDescent="0.25">
      <c r="A22" s="27">
        <v>2024</v>
      </c>
      <c r="B22" t="s">
        <v>714</v>
      </c>
      <c r="C22" t="s">
        <v>729</v>
      </c>
      <c r="D22" s="27">
        <v>13</v>
      </c>
      <c r="E22" s="27">
        <v>27</v>
      </c>
      <c r="F22" s="24">
        <v>0.32500000000000001</v>
      </c>
      <c r="G22" s="26">
        <v>19</v>
      </c>
      <c r="H22" s="25">
        <v>77.400000000000006</v>
      </c>
      <c r="I22" s="25">
        <v>82.5</v>
      </c>
      <c r="M22" s="33">
        <v>0</v>
      </c>
      <c r="N22" s="33">
        <v>0</v>
      </c>
      <c r="R22" s="29" t="str">
        <f>VLOOKUP(WNBA_TeamSeasons[[#This Row],[Team]],$Y$3:$Y$17,1,FALSE)</f>
        <v>Chicago Sky</v>
      </c>
    </row>
    <row r="23" spans="1:25" x14ac:dyDescent="0.25">
      <c r="A23" s="27">
        <v>2024</v>
      </c>
      <c r="B23" t="s">
        <v>712</v>
      </c>
      <c r="C23" t="s">
        <v>730</v>
      </c>
      <c r="D23" s="27">
        <v>30</v>
      </c>
      <c r="E23" s="27">
        <v>10</v>
      </c>
      <c r="F23" s="24">
        <v>0.75</v>
      </c>
      <c r="G23" s="26">
        <v>0</v>
      </c>
      <c r="H23" s="25">
        <v>82</v>
      </c>
      <c r="I23" s="25">
        <v>75.599999999999994</v>
      </c>
      <c r="J23" t="s">
        <v>30</v>
      </c>
      <c r="K23" s="29" t="s">
        <v>30</v>
      </c>
      <c r="M23" s="33">
        <v>7</v>
      </c>
      <c r="N23" s="33">
        <v>5</v>
      </c>
      <c r="O23" s="29" t="s">
        <v>30</v>
      </c>
      <c r="P23" s="29" t="s">
        <v>30</v>
      </c>
      <c r="R23" s="29" t="str">
        <f>VLOOKUP(WNBA_TeamSeasons[[#This Row],[Team]],$Y$3:$Y$17,1,FALSE)</f>
        <v>Minnesota Lynx</v>
      </c>
    </row>
    <row r="24" spans="1:25" x14ac:dyDescent="0.25">
      <c r="A24" s="27">
        <v>2024</v>
      </c>
      <c r="B24" t="s">
        <v>709</v>
      </c>
      <c r="C24" t="s">
        <v>730</v>
      </c>
      <c r="D24" s="27">
        <v>27</v>
      </c>
      <c r="E24" s="27">
        <v>13</v>
      </c>
      <c r="F24" s="24">
        <v>0.67500000000000004</v>
      </c>
      <c r="G24" s="26">
        <v>3</v>
      </c>
      <c r="H24" s="25">
        <v>86.4</v>
      </c>
      <c r="I24" s="25">
        <v>80.900000000000006</v>
      </c>
      <c r="J24" t="s">
        <v>30</v>
      </c>
      <c r="M24" s="33">
        <v>3</v>
      </c>
      <c r="N24" s="33">
        <v>3</v>
      </c>
      <c r="O24" s="29" t="s">
        <v>30</v>
      </c>
      <c r="R24" s="29" t="str">
        <f>VLOOKUP(WNBA_TeamSeasons[[#This Row],[Team]],$Y$3:$Y$17,1,FALSE)</f>
        <v>Las Vegas Aces</v>
      </c>
    </row>
    <row r="25" spans="1:25" x14ac:dyDescent="0.25">
      <c r="A25" s="27">
        <v>2024</v>
      </c>
      <c r="B25" t="s">
        <v>715</v>
      </c>
      <c r="C25" t="s">
        <v>730</v>
      </c>
      <c r="D25" s="27">
        <v>25</v>
      </c>
      <c r="E25" s="27">
        <v>15</v>
      </c>
      <c r="F25" s="24">
        <v>0.625</v>
      </c>
      <c r="G25" s="26">
        <v>5</v>
      </c>
      <c r="H25" s="25">
        <v>83.2</v>
      </c>
      <c r="I25" s="25">
        <v>78.8</v>
      </c>
      <c r="J25" t="s">
        <v>30</v>
      </c>
      <c r="M25" s="33">
        <v>0</v>
      </c>
      <c r="N25" s="33">
        <v>2</v>
      </c>
      <c r="R25" s="29" t="str">
        <f>VLOOKUP(WNBA_TeamSeasons[[#This Row],[Team]],$Y$3:$Y$17,1,FALSE)</f>
        <v>Seattle Storm</v>
      </c>
    </row>
    <row r="26" spans="1:25" x14ac:dyDescent="0.25">
      <c r="A26" s="27">
        <v>2024</v>
      </c>
      <c r="B26" t="s">
        <v>710</v>
      </c>
      <c r="C26" t="s">
        <v>730</v>
      </c>
      <c r="D26" s="27">
        <v>19</v>
      </c>
      <c r="E26" s="27">
        <v>21</v>
      </c>
      <c r="F26" s="24">
        <v>0.47499999999999998</v>
      </c>
      <c r="G26" s="26">
        <v>11</v>
      </c>
      <c r="H26" s="25">
        <v>81.5</v>
      </c>
      <c r="I26" s="25">
        <v>84.8</v>
      </c>
      <c r="J26" t="s">
        <v>30</v>
      </c>
      <c r="M26" s="33">
        <v>0</v>
      </c>
      <c r="N26" s="33">
        <v>2</v>
      </c>
      <c r="R26" s="29" t="str">
        <f>VLOOKUP(WNBA_TeamSeasons[[#This Row],[Team]],$Y$3:$Y$17,1,FALSE)</f>
        <v>Phoenix Mercury</v>
      </c>
    </row>
    <row r="27" spans="1:25" x14ac:dyDescent="0.25">
      <c r="A27" s="27">
        <v>2024</v>
      </c>
      <c r="B27" t="s">
        <v>732</v>
      </c>
      <c r="C27" t="s">
        <v>730</v>
      </c>
      <c r="D27" s="27">
        <v>9</v>
      </c>
      <c r="E27" s="27">
        <v>31</v>
      </c>
      <c r="F27" s="24">
        <v>0.22500000000000001</v>
      </c>
      <c r="G27" s="26">
        <v>21</v>
      </c>
      <c r="H27" s="25">
        <v>84.2</v>
      </c>
      <c r="I27" s="25">
        <v>92.1</v>
      </c>
      <c r="M27" s="33">
        <v>0</v>
      </c>
      <c r="N27" s="33">
        <v>0</v>
      </c>
      <c r="R27" s="29" t="str">
        <f>VLOOKUP(WNBA_TeamSeasons[[#This Row],[Team]],$Y$3:$Y$17,1,FALSE)</f>
        <v>Dallas Wings</v>
      </c>
    </row>
    <row r="28" spans="1:25" x14ac:dyDescent="0.25">
      <c r="A28" s="27">
        <v>2024</v>
      </c>
      <c r="B28" t="s">
        <v>717</v>
      </c>
      <c r="C28" t="s">
        <v>730</v>
      </c>
      <c r="D28" s="27">
        <v>8</v>
      </c>
      <c r="E28" s="27">
        <v>32</v>
      </c>
      <c r="F28" s="24">
        <v>0.2</v>
      </c>
      <c r="G28" s="26">
        <v>22</v>
      </c>
      <c r="H28" s="25">
        <v>78.400000000000006</v>
      </c>
      <c r="I28" s="25">
        <v>85.6</v>
      </c>
      <c r="M28" s="33">
        <v>0</v>
      </c>
      <c r="N28" s="33">
        <v>0</v>
      </c>
      <c r="R28" s="29" t="str">
        <f>VLOOKUP(WNBA_TeamSeasons[[#This Row],[Team]],$Y$3:$Y$17,1,FALSE)</f>
        <v>Los Angeles Sparks</v>
      </c>
    </row>
    <row r="29" spans="1:25" x14ac:dyDescent="0.25">
      <c r="A29" s="27">
        <v>2023</v>
      </c>
      <c r="B29" t="s">
        <v>711</v>
      </c>
      <c r="C29" t="s">
        <v>729</v>
      </c>
      <c r="D29" s="27">
        <v>32</v>
      </c>
      <c r="E29" s="27">
        <v>8</v>
      </c>
      <c r="F29" s="24">
        <v>0.8</v>
      </c>
      <c r="G29" s="26">
        <v>0</v>
      </c>
      <c r="H29" s="25">
        <v>89.2</v>
      </c>
      <c r="I29" s="25">
        <v>80.599999999999994</v>
      </c>
      <c r="J29" t="s">
        <v>30</v>
      </c>
      <c r="K29" s="29" t="s">
        <v>30</v>
      </c>
      <c r="M29" s="33">
        <v>6</v>
      </c>
      <c r="N29" s="33">
        <v>4</v>
      </c>
      <c r="O29" s="29" t="s">
        <v>30</v>
      </c>
      <c r="P29" s="29" t="s">
        <v>30</v>
      </c>
      <c r="R29" s="29" t="str">
        <f>VLOOKUP(WNBA_TeamSeasons[[#This Row],[Team]],$Y$3:$Y$17,1,FALSE)</f>
        <v>New York Liberty</v>
      </c>
    </row>
    <row r="30" spans="1:25" x14ac:dyDescent="0.25">
      <c r="A30" s="27">
        <v>2023</v>
      </c>
      <c r="B30" t="s">
        <v>713</v>
      </c>
      <c r="C30" t="s">
        <v>729</v>
      </c>
      <c r="D30" s="27">
        <v>27</v>
      </c>
      <c r="E30" s="27">
        <v>13</v>
      </c>
      <c r="F30" s="24">
        <v>0.67500000000000004</v>
      </c>
      <c r="G30" s="26">
        <v>5</v>
      </c>
      <c r="H30" s="25">
        <v>82.7</v>
      </c>
      <c r="I30" s="25">
        <v>79</v>
      </c>
      <c r="J30" t="s">
        <v>30</v>
      </c>
      <c r="M30" s="33">
        <v>3</v>
      </c>
      <c r="N30" s="33">
        <v>4</v>
      </c>
      <c r="O30" s="29" t="s">
        <v>30</v>
      </c>
      <c r="R30" s="29" t="str">
        <f>VLOOKUP(WNBA_TeamSeasons[[#This Row],[Team]],$Y$3:$Y$17,1,FALSE)</f>
        <v>Connecticut Sun</v>
      </c>
    </row>
    <row r="31" spans="1:25" x14ac:dyDescent="0.25">
      <c r="A31" s="27">
        <v>2023</v>
      </c>
      <c r="B31" t="s">
        <v>719</v>
      </c>
      <c r="C31" t="s">
        <v>729</v>
      </c>
      <c r="D31" s="27">
        <v>19</v>
      </c>
      <c r="E31" s="27">
        <v>21</v>
      </c>
      <c r="F31" s="24">
        <v>0.47499999999999998</v>
      </c>
      <c r="G31" s="26">
        <v>13</v>
      </c>
      <c r="H31" s="25">
        <v>82.5</v>
      </c>
      <c r="I31" s="25">
        <v>84</v>
      </c>
      <c r="J31" t="s">
        <v>30</v>
      </c>
      <c r="M31" s="33">
        <v>0</v>
      </c>
      <c r="N31" s="33">
        <v>2</v>
      </c>
      <c r="R31" s="29" t="str">
        <f>VLOOKUP(WNBA_TeamSeasons[[#This Row],[Team]],$Y$3:$Y$17,1,FALSE)</f>
        <v>Atlanta Dream</v>
      </c>
    </row>
    <row r="32" spans="1:25" x14ac:dyDescent="0.25">
      <c r="A32" s="27">
        <v>2023</v>
      </c>
      <c r="B32" t="s">
        <v>716</v>
      </c>
      <c r="C32" t="s">
        <v>729</v>
      </c>
      <c r="D32" s="27">
        <v>19</v>
      </c>
      <c r="E32" s="27">
        <v>21</v>
      </c>
      <c r="F32" s="24">
        <v>0.47499999999999998</v>
      </c>
      <c r="G32" s="26">
        <v>13</v>
      </c>
      <c r="H32" s="25">
        <v>80.5</v>
      </c>
      <c r="I32" s="25">
        <v>80.900000000000006</v>
      </c>
      <c r="J32" t="s">
        <v>30</v>
      </c>
      <c r="M32" s="33">
        <v>0</v>
      </c>
      <c r="N32" s="33">
        <v>2</v>
      </c>
      <c r="R32" s="29" t="str">
        <f>VLOOKUP(WNBA_TeamSeasons[[#This Row],[Team]],$Y$3:$Y$17,1,FALSE)</f>
        <v>Washington Mystics</v>
      </c>
    </row>
    <row r="33" spans="1:18" x14ac:dyDescent="0.25">
      <c r="A33" s="27">
        <v>2023</v>
      </c>
      <c r="B33" t="s">
        <v>714</v>
      </c>
      <c r="C33" t="s">
        <v>729</v>
      </c>
      <c r="D33" s="27">
        <v>18</v>
      </c>
      <c r="E33" s="27">
        <v>22</v>
      </c>
      <c r="F33" s="24">
        <v>0.45</v>
      </c>
      <c r="G33" s="26">
        <v>14</v>
      </c>
      <c r="H33" s="25">
        <v>81.7</v>
      </c>
      <c r="I33" s="25">
        <v>83.4</v>
      </c>
      <c r="J33" t="s">
        <v>30</v>
      </c>
      <c r="M33" s="33">
        <v>0</v>
      </c>
      <c r="N33" s="33">
        <v>2</v>
      </c>
      <c r="R33" s="29" t="str">
        <f>VLOOKUP(WNBA_TeamSeasons[[#This Row],[Team]],$Y$3:$Y$17,1,FALSE)</f>
        <v>Chicago Sky</v>
      </c>
    </row>
    <row r="34" spans="1:18" x14ac:dyDescent="0.25">
      <c r="A34" s="27">
        <v>2023</v>
      </c>
      <c r="B34" t="s">
        <v>718</v>
      </c>
      <c r="C34" t="s">
        <v>729</v>
      </c>
      <c r="D34" s="27">
        <v>13</v>
      </c>
      <c r="E34" s="27">
        <v>27</v>
      </c>
      <c r="F34" s="24">
        <v>0.32500000000000001</v>
      </c>
      <c r="G34" s="26">
        <v>19</v>
      </c>
      <c r="H34" s="25">
        <v>81</v>
      </c>
      <c r="I34" s="25">
        <v>85.1</v>
      </c>
      <c r="M34" s="33">
        <v>0</v>
      </c>
      <c r="N34" s="33">
        <v>0</v>
      </c>
      <c r="R34" s="29" t="str">
        <f>VLOOKUP(WNBA_TeamSeasons[[#This Row],[Team]],$Y$3:$Y$17,1,FALSE)</f>
        <v>Indiana Fever</v>
      </c>
    </row>
    <row r="35" spans="1:18" x14ac:dyDescent="0.25">
      <c r="A35" s="27">
        <v>2023</v>
      </c>
      <c r="B35" t="s">
        <v>709</v>
      </c>
      <c r="C35" t="s">
        <v>730</v>
      </c>
      <c r="D35" s="27">
        <v>34</v>
      </c>
      <c r="E35" s="27">
        <v>6</v>
      </c>
      <c r="F35" s="24">
        <v>0.85</v>
      </c>
      <c r="G35" s="26">
        <v>0</v>
      </c>
      <c r="H35" s="25">
        <v>92.8</v>
      </c>
      <c r="I35" s="25">
        <v>80.3</v>
      </c>
      <c r="J35" t="s">
        <v>30</v>
      </c>
      <c r="K35" s="29" t="s">
        <v>30</v>
      </c>
      <c r="L35" s="29" t="s">
        <v>30</v>
      </c>
      <c r="M35" s="33">
        <v>8</v>
      </c>
      <c r="N35" s="33">
        <v>1</v>
      </c>
      <c r="O35" s="29" t="s">
        <v>30</v>
      </c>
      <c r="P35" s="29" t="s">
        <v>30</v>
      </c>
      <c r="Q35" s="29" t="s">
        <v>30</v>
      </c>
      <c r="R35" s="29" t="str">
        <f>VLOOKUP(WNBA_TeamSeasons[[#This Row],[Team]],$Y$3:$Y$17,1,FALSE)</f>
        <v>Las Vegas Aces</v>
      </c>
    </row>
    <row r="36" spans="1:18" x14ac:dyDescent="0.25">
      <c r="A36" s="27">
        <v>2023</v>
      </c>
      <c r="B36" t="s">
        <v>732</v>
      </c>
      <c r="C36" t="s">
        <v>730</v>
      </c>
      <c r="D36" s="27">
        <v>22</v>
      </c>
      <c r="E36" s="27">
        <v>18</v>
      </c>
      <c r="F36" s="24">
        <v>0.55000000000000004</v>
      </c>
      <c r="G36" s="26">
        <v>12</v>
      </c>
      <c r="H36" s="25">
        <v>87.9</v>
      </c>
      <c r="I36" s="25">
        <v>84.9</v>
      </c>
      <c r="J36" t="s">
        <v>30</v>
      </c>
      <c r="M36" s="33">
        <v>2</v>
      </c>
      <c r="N36" s="33">
        <v>3</v>
      </c>
      <c r="O36" s="29" t="s">
        <v>30</v>
      </c>
      <c r="R36" s="29" t="str">
        <f>VLOOKUP(WNBA_TeamSeasons[[#This Row],[Team]],$Y$3:$Y$17,1,FALSE)</f>
        <v>Dallas Wings</v>
      </c>
    </row>
    <row r="37" spans="1:18" x14ac:dyDescent="0.25">
      <c r="A37" s="27">
        <v>2023</v>
      </c>
      <c r="B37" t="s">
        <v>712</v>
      </c>
      <c r="C37" t="s">
        <v>730</v>
      </c>
      <c r="D37" s="27">
        <v>19</v>
      </c>
      <c r="E37" s="27">
        <v>21</v>
      </c>
      <c r="F37" s="24">
        <v>0.47499999999999998</v>
      </c>
      <c r="G37" s="26">
        <v>15</v>
      </c>
      <c r="H37" s="25">
        <v>80.2</v>
      </c>
      <c r="I37" s="25">
        <v>85</v>
      </c>
      <c r="J37" t="s">
        <v>30</v>
      </c>
      <c r="M37" s="33">
        <v>1</v>
      </c>
      <c r="N37" s="33">
        <v>2</v>
      </c>
      <c r="R37" s="29" t="str">
        <f>VLOOKUP(WNBA_TeamSeasons[[#This Row],[Team]],$Y$3:$Y$17,1,FALSE)</f>
        <v>Minnesota Lynx</v>
      </c>
    </row>
    <row r="38" spans="1:18" x14ac:dyDescent="0.25">
      <c r="A38" s="27">
        <v>2023</v>
      </c>
      <c r="B38" t="s">
        <v>717</v>
      </c>
      <c r="C38" t="s">
        <v>730</v>
      </c>
      <c r="D38" s="27">
        <v>17</v>
      </c>
      <c r="E38" s="27">
        <v>23</v>
      </c>
      <c r="F38" s="24">
        <v>0.42499999999999999</v>
      </c>
      <c r="G38" s="26">
        <v>17</v>
      </c>
      <c r="H38" s="25">
        <v>78.900000000000006</v>
      </c>
      <c r="I38" s="25">
        <v>80.5</v>
      </c>
      <c r="M38" s="33">
        <v>0</v>
      </c>
      <c r="N38" s="33">
        <v>0</v>
      </c>
      <c r="R38" s="29" t="str">
        <f>VLOOKUP(WNBA_TeamSeasons[[#This Row],[Team]],$Y$3:$Y$17,1,FALSE)</f>
        <v>Los Angeles Sparks</v>
      </c>
    </row>
    <row r="39" spans="1:18" x14ac:dyDescent="0.25">
      <c r="A39" s="27">
        <v>2023</v>
      </c>
      <c r="B39" t="s">
        <v>715</v>
      </c>
      <c r="C39" t="s">
        <v>730</v>
      </c>
      <c r="D39" s="27">
        <v>11</v>
      </c>
      <c r="E39" s="27">
        <v>29</v>
      </c>
      <c r="F39" s="24">
        <v>0.27500000000000002</v>
      </c>
      <c r="G39" s="26">
        <v>23</v>
      </c>
      <c r="H39" s="25">
        <v>78.8</v>
      </c>
      <c r="I39" s="25">
        <v>84.5</v>
      </c>
      <c r="M39" s="33">
        <v>0</v>
      </c>
      <c r="N39" s="33">
        <v>0</v>
      </c>
      <c r="R39" s="29" t="str">
        <f>VLOOKUP(WNBA_TeamSeasons[[#This Row],[Team]],$Y$3:$Y$17,1,FALSE)</f>
        <v>Seattle Storm</v>
      </c>
    </row>
    <row r="40" spans="1:18" x14ac:dyDescent="0.25">
      <c r="A40" s="27">
        <v>2023</v>
      </c>
      <c r="B40" t="s">
        <v>710</v>
      </c>
      <c r="C40" t="s">
        <v>730</v>
      </c>
      <c r="D40" s="27">
        <v>9</v>
      </c>
      <c r="E40" s="27">
        <v>31</v>
      </c>
      <c r="F40" s="24">
        <v>0.22500000000000001</v>
      </c>
      <c r="G40" s="26">
        <v>25</v>
      </c>
      <c r="H40" s="25">
        <v>76.599999999999994</v>
      </c>
      <c r="I40" s="25">
        <v>84.9</v>
      </c>
      <c r="M40" s="33">
        <v>0</v>
      </c>
      <c r="N40" s="33">
        <v>0</v>
      </c>
      <c r="R40" s="29" t="str">
        <f>VLOOKUP(WNBA_TeamSeasons[[#This Row],[Team]],$Y$3:$Y$17,1,FALSE)</f>
        <v>Phoenix Mercury</v>
      </c>
    </row>
    <row r="41" spans="1:18" x14ac:dyDescent="0.25">
      <c r="A41" s="27">
        <v>2022</v>
      </c>
      <c r="B41" t="s">
        <v>714</v>
      </c>
      <c r="C41" t="s">
        <v>729</v>
      </c>
      <c r="D41" s="27">
        <v>26</v>
      </c>
      <c r="E41" s="27">
        <v>10</v>
      </c>
      <c r="F41" s="24">
        <v>0.72199999999999998</v>
      </c>
      <c r="G41" s="26">
        <v>0</v>
      </c>
      <c r="H41" s="25">
        <v>86.3</v>
      </c>
      <c r="I41" s="25">
        <v>81.3</v>
      </c>
      <c r="J41" t="s">
        <v>30</v>
      </c>
      <c r="K41" s="29" t="s">
        <v>30</v>
      </c>
      <c r="L41" s="29" t="s">
        <v>30</v>
      </c>
      <c r="M41" s="33">
        <v>4</v>
      </c>
      <c r="N41" s="33">
        <v>4</v>
      </c>
      <c r="O41" s="29" t="s">
        <v>30</v>
      </c>
      <c r="R41" s="29" t="str">
        <f>VLOOKUP(WNBA_TeamSeasons[[#This Row],[Team]],$Y$3:$Y$17,1,FALSE)</f>
        <v>Chicago Sky</v>
      </c>
    </row>
    <row r="42" spans="1:18" x14ac:dyDescent="0.25">
      <c r="A42" s="27">
        <v>2022</v>
      </c>
      <c r="B42" t="s">
        <v>713</v>
      </c>
      <c r="C42" t="s">
        <v>729</v>
      </c>
      <c r="D42" s="27">
        <v>25</v>
      </c>
      <c r="E42" s="27">
        <v>11</v>
      </c>
      <c r="F42" s="24">
        <v>0.69399999999999995</v>
      </c>
      <c r="G42" s="26">
        <v>1</v>
      </c>
      <c r="H42" s="25">
        <v>85.8</v>
      </c>
      <c r="I42" s="25">
        <v>77.8</v>
      </c>
      <c r="J42" t="s">
        <v>30</v>
      </c>
      <c r="M42" s="33">
        <v>6</v>
      </c>
      <c r="N42" s="33">
        <v>6</v>
      </c>
      <c r="O42" s="29" t="s">
        <v>30</v>
      </c>
      <c r="P42" s="29" t="s">
        <v>30</v>
      </c>
      <c r="R42" s="29" t="str">
        <f>VLOOKUP(WNBA_TeamSeasons[[#This Row],[Team]],$Y$3:$Y$17,1,FALSE)</f>
        <v>Connecticut Sun</v>
      </c>
    </row>
    <row r="43" spans="1:18" x14ac:dyDescent="0.25">
      <c r="A43" s="27">
        <v>2022</v>
      </c>
      <c r="B43" t="s">
        <v>716</v>
      </c>
      <c r="C43" t="s">
        <v>729</v>
      </c>
      <c r="D43" s="27">
        <v>22</v>
      </c>
      <c r="E43" s="27">
        <v>14</v>
      </c>
      <c r="F43" s="24">
        <v>0.61099999999999999</v>
      </c>
      <c r="G43" s="26">
        <v>4</v>
      </c>
      <c r="H43" s="25">
        <v>80.2</v>
      </c>
      <c r="I43" s="25">
        <v>75.900000000000006</v>
      </c>
      <c r="J43" t="s">
        <v>30</v>
      </c>
      <c r="M43" s="33">
        <v>0</v>
      </c>
      <c r="N43" s="33">
        <v>2</v>
      </c>
      <c r="R43" s="29" t="str">
        <f>VLOOKUP(WNBA_TeamSeasons[[#This Row],[Team]],$Y$3:$Y$17,1,FALSE)</f>
        <v>Washington Mystics</v>
      </c>
    </row>
    <row r="44" spans="1:18" x14ac:dyDescent="0.25">
      <c r="A44" s="27">
        <v>2022</v>
      </c>
      <c r="B44" t="s">
        <v>711</v>
      </c>
      <c r="C44" t="s">
        <v>729</v>
      </c>
      <c r="D44" s="27">
        <v>16</v>
      </c>
      <c r="E44" s="27">
        <v>20</v>
      </c>
      <c r="F44" s="24">
        <v>0.44400000000000001</v>
      </c>
      <c r="G44" s="26">
        <v>10</v>
      </c>
      <c r="H44" s="25">
        <v>79.599999999999994</v>
      </c>
      <c r="I44" s="25">
        <v>82</v>
      </c>
      <c r="J44" t="s">
        <v>30</v>
      </c>
      <c r="M44" s="33">
        <v>1</v>
      </c>
      <c r="N44" s="33">
        <v>2</v>
      </c>
      <c r="R44" s="29" t="str">
        <f>VLOOKUP(WNBA_TeamSeasons[[#This Row],[Team]],$Y$3:$Y$17,1,FALSE)</f>
        <v>New York Liberty</v>
      </c>
    </row>
    <row r="45" spans="1:18" x14ac:dyDescent="0.25">
      <c r="A45" s="27">
        <v>2022</v>
      </c>
      <c r="B45" t="s">
        <v>719</v>
      </c>
      <c r="C45" t="s">
        <v>729</v>
      </c>
      <c r="D45" s="27">
        <v>14</v>
      </c>
      <c r="E45" s="27">
        <v>22</v>
      </c>
      <c r="F45" s="24">
        <v>0.38900000000000001</v>
      </c>
      <c r="G45" s="26">
        <v>12</v>
      </c>
      <c r="H45" s="25">
        <v>78.5</v>
      </c>
      <c r="I45" s="25">
        <v>81.5</v>
      </c>
      <c r="M45" s="33">
        <v>0</v>
      </c>
      <c r="N45" s="33">
        <v>0</v>
      </c>
      <c r="R45" s="29" t="str">
        <f>VLOOKUP(WNBA_TeamSeasons[[#This Row],[Team]],$Y$3:$Y$17,1,FALSE)</f>
        <v>Atlanta Dream</v>
      </c>
    </row>
    <row r="46" spans="1:18" x14ac:dyDescent="0.25">
      <c r="A46" s="27">
        <v>2022</v>
      </c>
      <c r="B46" t="s">
        <v>718</v>
      </c>
      <c r="C46" t="s">
        <v>729</v>
      </c>
      <c r="D46" s="27">
        <v>5</v>
      </c>
      <c r="E46" s="27">
        <v>31</v>
      </c>
      <c r="F46" s="24">
        <v>0.13900000000000001</v>
      </c>
      <c r="G46" s="26">
        <v>21</v>
      </c>
      <c r="H46" s="25">
        <v>78</v>
      </c>
      <c r="I46" s="25">
        <v>89.1</v>
      </c>
      <c r="M46" s="33">
        <v>0</v>
      </c>
      <c r="N46" s="33">
        <v>0</v>
      </c>
      <c r="R46" s="29" t="str">
        <f>VLOOKUP(WNBA_TeamSeasons[[#This Row],[Team]],$Y$3:$Y$17,1,FALSE)</f>
        <v>Indiana Fever</v>
      </c>
    </row>
    <row r="47" spans="1:18" x14ac:dyDescent="0.25">
      <c r="A47" s="27">
        <v>2022</v>
      </c>
      <c r="B47" t="s">
        <v>709</v>
      </c>
      <c r="C47" t="s">
        <v>730</v>
      </c>
      <c r="D47" s="27">
        <v>26</v>
      </c>
      <c r="E47" s="27">
        <v>10</v>
      </c>
      <c r="F47" s="24">
        <v>0.72199999999999998</v>
      </c>
      <c r="G47" s="26">
        <v>0</v>
      </c>
      <c r="H47" s="25">
        <v>90.4</v>
      </c>
      <c r="I47" s="25">
        <v>84.1</v>
      </c>
      <c r="J47" t="s">
        <v>30</v>
      </c>
      <c r="K47" s="29" t="s">
        <v>30</v>
      </c>
      <c r="L47" s="29" t="s">
        <v>30</v>
      </c>
      <c r="M47" s="33">
        <v>8</v>
      </c>
      <c r="N47" s="33">
        <v>2</v>
      </c>
      <c r="O47" s="29" t="s">
        <v>30</v>
      </c>
      <c r="P47" s="29" t="s">
        <v>30</v>
      </c>
      <c r="Q47" s="29" t="s">
        <v>30</v>
      </c>
      <c r="R47" s="29" t="str">
        <f>VLOOKUP(WNBA_TeamSeasons[[#This Row],[Team]],$Y$3:$Y$17,1,FALSE)</f>
        <v>Las Vegas Aces</v>
      </c>
    </row>
    <row r="48" spans="1:18" x14ac:dyDescent="0.25">
      <c r="A48" s="27">
        <v>2022</v>
      </c>
      <c r="B48" t="s">
        <v>715</v>
      </c>
      <c r="C48" t="s">
        <v>730</v>
      </c>
      <c r="D48" s="27">
        <v>22</v>
      </c>
      <c r="E48" s="27">
        <v>14</v>
      </c>
      <c r="F48" s="24">
        <v>0.61099999999999999</v>
      </c>
      <c r="G48" s="26">
        <v>4</v>
      </c>
      <c r="H48" s="25">
        <v>82.5</v>
      </c>
      <c r="I48" s="25">
        <v>78.400000000000006</v>
      </c>
      <c r="J48" t="s">
        <v>30</v>
      </c>
      <c r="M48" s="33">
        <v>3</v>
      </c>
      <c r="N48" s="33">
        <v>3</v>
      </c>
      <c r="O48" s="29" t="s">
        <v>30</v>
      </c>
      <c r="R48" s="29" t="str">
        <f>VLOOKUP(WNBA_TeamSeasons[[#This Row],[Team]],$Y$3:$Y$17,1,FALSE)</f>
        <v>Seattle Storm</v>
      </c>
    </row>
    <row r="49" spans="1:18" x14ac:dyDescent="0.25">
      <c r="A49" s="27">
        <v>2022</v>
      </c>
      <c r="B49" t="s">
        <v>732</v>
      </c>
      <c r="C49" t="s">
        <v>730</v>
      </c>
      <c r="D49" s="27">
        <v>18</v>
      </c>
      <c r="E49" s="27">
        <v>18</v>
      </c>
      <c r="F49" s="24">
        <v>0.5</v>
      </c>
      <c r="G49" s="26">
        <v>8</v>
      </c>
      <c r="H49" s="25">
        <v>82.9</v>
      </c>
      <c r="I49" s="25">
        <v>82.8</v>
      </c>
      <c r="J49" t="s">
        <v>30</v>
      </c>
      <c r="M49" s="33">
        <v>1</v>
      </c>
      <c r="N49" s="33">
        <v>2</v>
      </c>
      <c r="R49" s="29" t="str">
        <f>VLOOKUP(WNBA_TeamSeasons[[#This Row],[Team]],$Y$3:$Y$17,1,FALSE)</f>
        <v>Dallas Wings</v>
      </c>
    </row>
    <row r="50" spans="1:18" x14ac:dyDescent="0.25">
      <c r="A50" s="27">
        <v>2022</v>
      </c>
      <c r="B50" t="s">
        <v>710</v>
      </c>
      <c r="C50" t="s">
        <v>730</v>
      </c>
      <c r="D50" s="27">
        <v>15</v>
      </c>
      <c r="E50" s="27">
        <v>21</v>
      </c>
      <c r="F50" s="24">
        <v>0.41699999999999998</v>
      </c>
      <c r="G50" s="26">
        <v>11</v>
      </c>
      <c r="H50" s="25">
        <v>81.099999999999994</v>
      </c>
      <c r="I50" s="25">
        <v>84.1</v>
      </c>
      <c r="J50" t="s">
        <v>30</v>
      </c>
      <c r="M50" s="33">
        <v>0</v>
      </c>
      <c r="N50" s="33">
        <v>2</v>
      </c>
      <c r="R50" s="29" t="str">
        <f>VLOOKUP(WNBA_TeamSeasons[[#This Row],[Team]],$Y$3:$Y$17,1,FALSE)</f>
        <v>Phoenix Mercury</v>
      </c>
    </row>
    <row r="51" spans="1:18" x14ac:dyDescent="0.25">
      <c r="A51" s="27">
        <v>2022</v>
      </c>
      <c r="B51" t="s">
        <v>712</v>
      </c>
      <c r="C51" t="s">
        <v>730</v>
      </c>
      <c r="D51" s="27">
        <v>14</v>
      </c>
      <c r="E51" s="27">
        <v>22</v>
      </c>
      <c r="F51" s="24">
        <v>0.38900000000000001</v>
      </c>
      <c r="G51" s="26">
        <v>12</v>
      </c>
      <c r="H51" s="25">
        <v>82.4</v>
      </c>
      <c r="I51" s="25">
        <v>83.9</v>
      </c>
      <c r="M51" s="33">
        <v>0</v>
      </c>
      <c r="N51" s="33">
        <v>0</v>
      </c>
      <c r="R51" s="29" t="str">
        <f>VLOOKUP(WNBA_TeamSeasons[[#This Row],[Team]],$Y$3:$Y$17,1,FALSE)</f>
        <v>Minnesota Lynx</v>
      </c>
    </row>
    <row r="52" spans="1:18" x14ac:dyDescent="0.25">
      <c r="A52" s="27">
        <v>2022</v>
      </c>
      <c r="B52" t="s">
        <v>717</v>
      </c>
      <c r="C52" t="s">
        <v>730</v>
      </c>
      <c r="D52" s="27">
        <v>13</v>
      </c>
      <c r="E52" s="27">
        <v>23</v>
      </c>
      <c r="F52" s="24">
        <v>0.36099999999999999</v>
      </c>
      <c r="G52" s="26">
        <v>13</v>
      </c>
      <c r="H52" s="25">
        <v>79.400000000000006</v>
      </c>
      <c r="I52" s="25">
        <v>86.6</v>
      </c>
      <c r="M52" s="33">
        <v>0</v>
      </c>
      <c r="N52" s="33">
        <v>0</v>
      </c>
      <c r="R52" s="29" t="str">
        <f>VLOOKUP(WNBA_TeamSeasons[[#This Row],[Team]],$Y$3:$Y$17,1,FALSE)</f>
        <v>Los Angeles Sparks</v>
      </c>
    </row>
    <row r="53" spans="1:18" x14ac:dyDescent="0.25">
      <c r="A53" s="27">
        <v>2021</v>
      </c>
      <c r="B53" t="s">
        <v>713</v>
      </c>
      <c r="C53" t="s">
        <v>729</v>
      </c>
      <c r="D53" s="27">
        <v>26</v>
      </c>
      <c r="E53" s="27">
        <v>6</v>
      </c>
      <c r="F53" s="24">
        <v>0.81299999999999994</v>
      </c>
      <c r="G53" s="26">
        <v>0</v>
      </c>
      <c r="H53" s="25">
        <v>79.7</v>
      </c>
      <c r="I53" s="25">
        <v>69.900000000000006</v>
      </c>
      <c r="J53" t="s">
        <v>30</v>
      </c>
      <c r="K53" s="29" t="s">
        <v>30</v>
      </c>
      <c r="L53" s="29" t="s">
        <v>30</v>
      </c>
      <c r="M53" s="33">
        <v>1</v>
      </c>
      <c r="N53" s="33">
        <v>3</v>
      </c>
      <c r="O53" s="29" t="s">
        <v>30</v>
      </c>
      <c r="R53" s="29" t="str">
        <f>VLOOKUP(WNBA_TeamSeasons[[#This Row],[Team]],$Y$3:$Y$17,1,FALSE)</f>
        <v>Connecticut Sun</v>
      </c>
    </row>
    <row r="54" spans="1:18" x14ac:dyDescent="0.25">
      <c r="A54" s="27">
        <v>2021</v>
      </c>
      <c r="B54" t="s">
        <v>714</v>
      </c>
      <c r="C54" t="s">
        <v>729</v>
      </c>
      <c r="D54" s="27">
        <v>16</v>
      </c>
      <c r="E54" s="27">
        <v>16</v>
      </c>
      <c r="F54" s="24">
        <v>0.5</v>
      </c>
      <c r="G54" s="26">
        <v>10</v>
      </c>
      <c r="H54" s="25">
        <v>83.3</v>
      </c>
      <c r="I54" s="25">
        <v>81.900000000000006</v>
      </c>
      <c r="J54" t="s">
        <v>30</v>
      </c>
      <c r="M54" s="33">
        <v>7</v>
      </c>
      <c r="N54" s="33">
        <v>2</v>
      </c>
      <c r="O54" s="29" t="s">
        <v>30</v>
      </c>
      <c r="P54" s="29" t="s">
        <v>30</v>
      </c>
      <c r="Q54" s="29" t="s">
        <v>30</v>
      </c>
      <c r="R54" s="29" t="str">
        <f>VLOOKUP(WNBA_TeamSeasons[[#This Row],[Team]],$Y$3:$Y$17,1,FALSE)</f>
        <v>Chicago Sky</v>
      </c>
    </row>
    <row r="55" spans="1:18" x14ac:dyDescent="0.25">
      <c r="A55" s="27">
        <v>2021</v>
      </c>
      <c r="B55" t="s">
        <v>711</v>
      </c>
      <c r="C55" t="s">
        <v>729</v>
      </c>
      <c r="D55" s="27">
        <v>12</v>
      </c>
      <c r="E55" s="27">
        <v>20</v>
      </c>
      <c r="F55" s="24">
        <v>0.375</v>
      </c>
      <c r="G55" s="26">
        <v>14</v>
      </c>
      <c r="H55" s="25">
        <v>78.5</v>
      </c>
      <c r="I55" s="25">
        <v>85.5</v>
      </c>
      <c r="J55" t="s">
        <v>30</v>
      </c>
      <c r="M55" s="33">
        <v>0</v>
      </c>
      <c r="N55" s="33">
        <v>1</v>
      </c>
      <c r="R55" s="29" t="str">
        <f>VLOOKUP(WNBA_TeamSeasons[[#This Row],[Team]],$Y$3:$Y$17,1,FALSE)</f>
        <v>New York Liberty</v>
      </c>
    </row>
    <row r="56" spans="1:18" x14ac:dyDescent="0.25">
      <c r="A56" s="27">
        <v>2021</v>
      </c>
      <c r="B56" t="s">
        <v>716</v>
      </c>
      <c r="C56" t="s">
        <v>729</v>
      </c>
      <c r="D56" s="27">
        <v>12</v>
      </c>
      <c r="E56" s="27">
        <v>20</v>
      </c>
      <c r="F56" s="24">
        <v>0.375</v>
      </c>
      <c r="G56" s="26">
        <v>14</v>
      </c>
      <c r="H56" s="25">
        <v>79.8</v>
      </c>
      <c r="I56" s="25">
        <v>83.6</v>
      </c>
      <c r="M56" s="33">
        <v>0</v>
      </c>
      <c r="N56" s="33">
        <v>0</v>
      </c>
      <c r="R56" s="29" t="str">
        <f>VLOOKUP(WNBA_TeamSeasons[[#This Row],[Team]],$Y$3:$Y$17,1,FALSE)</f>
        <v>Washington Mystics</v>
      </c>
    </row>
    <row r="57" spans="1:18" x14ac:dyDescent="0.25">
      <c r="A57" s="27">
        <v>2021</v>
      </c>
      <c r="B57" t="s">
        <v>719</v>
      </c>
      <c r="C57" t="s">
        <v>729</v>
      </c>
      <c r="D57" s="27">
        <v>8</v>
      </c>
      <c r="E57" s="27">
        <v>24</v>
      </c>
      <c r="F57" s="24">
        <v>0.25</v>
      </c>
      <c r="G57" s="26">
        <v>18</v>
      </c>
      <c r="H57" s="25">
        <v>78.7</v>
      </c>
      <c r="I57" s="25">
        <v>84.3</v>
      </c>
      <c r="M57" s="33">
        <v>0</v>
      </c>
      <c r="N57" s="33">
        <v>0</v>
      </c>
      <c r="R57" s="29" t="str">
        <f>VLOOKUP(WNBA_TeamSeasons[[#This Row],[Team]],$Y$3:$Y$17,1,FALSE)</f>
        <v>Atlanta Dream</v>
      </c>
    </row>
    <row r="58" spans="1:18" x14ac:dyDescent="0.25">
      <c r="A58" s="27">
        <v>2021</v>
      </c>
      <c r="B58" t="s">
        <v>718</v>
      </c>
      <c r="C58" t="s">
        <v>729</v>
      </c>
      <c r="D58" s="27">
        <v>6</v>
      </c>
      <c r="E58" s="27">
        <v>26</v>
      </c>
      <c r="F58" s="24">
        <v>0.188</v>
      </c>
      <c r="G58" s="26">
        <v>20</v>
      </c>
      <c r="H58" s="25">
        <v>75.3</v>
      </c>
      <c r="I58" s="25">
        <v>85.1</v>
      </c>
      <c r="M58" s="33">
        <v>0</v>
      </c>
      <c r="N58" s="33">
        <v>0</v>
      </c>
      <c r="R58" s="29" t="str">
        <f>VLOOKUP(WNBA_TeamSeasons[[#This Row],[Team]],$Y$3:$Y$17,1,FALSE)</f>
        <v>Indiana Fever</v>
      </c>
    </row>
    <row r="59" spans="1:18" x14ac:dyDescent="0.25">
      <c r="A59" s="27">
        <v>2021</v>
      </c>
      <c r="B59" t="s">
        <v>709</v>
      </c>
      <c r="C59" t="s">
        <v>730</v>
      </c>
      <c r="D59" s="27">
        <v>24</v>
      </c>
      <c r="E59" s="27">
        <v>8</v>
      </c>
      <c r="F59" s="24">
        <v>0.75</v>
      </c>
      <c r="G59" s="26">
        <v>0</v>
      </c>
      <c r="H59" s="25">
        <v>89.3</v>
      </c>
      <c r="I59" s="25">
        <v>80.2</v>
      </c>
      <c r="J59" t="s">
        <v>30</v>
      </c>
      <c r="K59" s="29" t="s">
        <v>30</v>
      </c>
      <c r="M59" s="33">
        <v>2</v>
      </c>
      <c r="N59" s="33">
        <v>3</v>
      </c>
      <c r="O59" s="29" t="s">
        <v>30</v>
      </c>
      <c r="R59" s="29" t="str">
        <f>VLOOKUP(WNBA_TeamSeasons[[#This Row],[Team]],$Y$3:$Y$17,1,FALSE)</f>
        <v>Las Vegas Aces</v>
      </c>
    </row>
    <row r="60" spans="1:18" x14ac:dyDescent="0.25">
      <c r="A60" s="27">
        <v>2021</v>
      </c>
      <c r="B60" t="s">
        <v>712</v>
      </c>
      <c r="C60" t="s">
        <v>730</v>
      </c>
      <c r="D60" s="27">
        <v>22</v>
      </c>
      <c r="E60" s="27">
        <v>10</v>
      </c>
      <c r="F60" s="24">
        <v>0.68799999999999994</v>
      </c>
      <c r="G60" s="26">
        <v>2</v>
      </c>
      <c r="H60" s="25">
        <v>82.7</v>
      </c>
      <c r="I60" s="25">
        <v>78.7</v>
      </c>
      <c r="J60" t="s">
        <v>30</v>
      </c>
      <c r="M60" s="33">
        <v>0</v>
      </c>
      <c r="N60" s="33">
        <v>0</v>
      </c>
      <c r="R60" s="29" t="str">
        <f>VLOOKUP(WNBA_TeamSeasons[[#This Row],[Team]],$Y$3:$Y$17,1,FALSE)</f>
        <v>Minnesota Lynx</v>
      </c>
    </row>
    <row r="61" spans="1:18" x14ac:dyDescent="0.25">
      <c r="A61" s="27">
        <v>2021</v>
      </c>
      <c r="B61" t="s">
        <v>715</v>
      </c>
      <c r="C61" t="s">
        <v>730</v>
      </c>
      <c r="D61" s="27">
        <v>21</v>
      </c>
      <c r="E61" s="27">
        <v>11</v>
      </c>
      <c r="F61" s="24">
        <v>0.65600000000000003</v>
      </c>
      <c r="G61" s="26">
        <v>3</v>
      </c>
      <c r="H61" s="25">
        <v>84.8</v>
      </c>
      <c r="I61" s="25">
        <v>80.400000000000006</v>
      </c>
      <c r="J61" t="s">
        <v>30</v>
      </c>
      <c r="M61" s="33">
        <v>0</v>
      </c>
      <c r="N61" s="33">
        <v>0</v>
      </c>
      <c r="R61" s="29" t="str">
        <f>VLOOKUP(WNBA_TeamSeasons[[#This Row],[Team]],$Y$3:$Y$17,1,FALSE)</f>
        <v>Seattle Storm</v>
      </c>
    </row>
    <row r="62" spans="1:18" x14ac:dyDescent="0.25">
      <c r="A62" s="27">
        <v>2021</v>
      </c>
      <c r="B62" t="s">
        <v>710</v>
      </c>
      <c r="C62" t="s">
        <v>730</v>
      </c>
      <c r="D62" s="27">
        <v>19</v>
      </c>
      <c r="E62" s="27">
        <v>13</v>
      </c>
      <c r="F62" s="24">
        <v>0.59399999999999997</v>
      </c>
      <c r="G62" s="26">
        <v>5</v>
      </c>
      <c r="H62" s="25">
        <v>82.1</v>
      </c>
      <c r="I62" s="25">
        <v>79.5</v>
      </c>
      <c r="J62" t="s">
        <v>30</v>
      </c>
      <c r="M62" s="33">
        <v>5</v>
      </c>
      <c r="N62" s="33">
        <v>5</v>
      </c>
      <c r="O62" s="29" t="s">
        <v>30</v>
      </c>
      <c r="P62" s="29" t="s">
        <v>30</v>
      </c>
      <c r="R62" s="29" t="str">
        <f>VLOOKUP(WNBA_TeamSeasons[[#This Row],[Team]],$Y$3:$Y$17,1,FALSE)</f>
        <v>Phoenix Mercury</v>
      </c>
    </row>
    <row r="63" spans="1:18" x14ac:dyDescent="0.25">
      <c r="A63" s="27">
        <v>2021</v>
      </c>
      <c r="B63" t="s">
        <v>732</v>
      </c>
      <c r="C63" t="s">
        <v>730</v>
      </c>
      <c r="D63" s="27">
        <v>14</v>
      </c>
      <c r="E63" s="27">
        <v>18</v>
      </c>
      <c r="F63" s="24">
        <v>0.438</v>
      </c>
      <c r="G63" s="26">
        <v>10</v>
      </c>
      <c r="H63" s="25">
        <v>81.099999999999994</v>
      </c>
      <c r="I63" s="25">
        <v>81.7</v>
      </c>
      <c r="J63" t="s">
        <v>30</v>
      </c>
      <c r="M63" s="33">
        <v>0</v>
      </c>
      <c r="N63" s="33">
        <v>1</v>
      </c>
      <c r="R63" s="29" t="str">
        <f>VLOOKUP(WNBA_TeamSeasons[[#This Row],[Team]],$Y$3:$Y$17,1,FALSE)</f>
        <v>Dallas Wings</v>
      </c>
    </row>
    <row r="64" spans="1:18" x14ac:dyDescent="0.25">
      <c r="A64" s="27">
        <v>2021</v>
      </c>
      <c r="B64" t="s">
        <v>717</v>
      </c>
      <c r="C64" t="s">
        <v>730</v>
      </c>
      <c r="D64" s="27">
        <v>12</v>
      </c>
      <c r="E64" s="27">
        <v>20</v>
      </c>
      <c r="F64" s="24">
        <v>0.375</v>
      </c>
      <c r="G64" s="26">
        <v>12</v>
      </c>
      <c r="H64" s="25">
        <v>72.8</v>
      </c>
      <c r="I64" s="25">
        <v>77.099999999999994</v>
      </c>
      <c r="M64" s="33">
        <v>0</v>
      </c>
      <c r="N64" s="33">
        <v>0</v>
      </c>
      <c r="R64" s="29" t="str">
        <f>VLOOKUP(WNBA_TeamSeasons[[#This Row],[Team]],$Y$3:$Y$17,1,FALSE)</f>
        <v>Los Angeles Sparks</v>
      </c>
    </row>
    <row r="65" spans="1:18" x14ac:dyDescent="0.25">
      <c r="A65" s="27">
        <v>2020</v>
      </c>
      <c r="B65" t="s">
        <v>714</v>
      </c>
      <c r="C65" t="s">
        <v>729</v>
      </c>
      <c r="D65" s="27">
        <v>12</v>
      </c>
      <c r="E65" s="27">
        <v>10</v>
      </c>
      <c r="F65" s="24">
        <v>0.54500000000000004</v>
      </c>
      <c r="G65" s="26">
        <v>0</v>
      </c>
      <c r="H65" s="25">
        <v>86.7</v>
      </c>
      <c r="I65" s="25">
        <v>84.1</v>
      </c>
      <c r="J65" t="s">
        <v>30</v>
      </c>
      <c r="K65" s="29" t="s">
        <v>30</v>
      </c>
      <c r="M65" s="33">
        <v>0</v>
      </c>
      <c r="N65" s="33">
        <v>1</v>
      </c>
      <c r="R65" s="29" t="str">
        <f>VLOOKUP(WNBA_TeamSeasons[[#This Row],[Team]],$Y$3:$Y$17,1,FALSE)</f>
        <v>Chicago Sky</v>
      </c>
    </row>
    <row r="66" spans="1:18" x14ac:dyDescent="0.25">
      <c r="A66" s="27">
        <v>2020</v>
      </c>
      <c r="B66" t="s">
        <v>713</v>
      </c>
      <c r="C66" t="s">
        <v>729</v>
      </c>
      <c r="D66" s="27">
        <v>10</v>
      </c>
      <c r="E66" s="27">
        <v>12</v>
      </c>
      <c r="F66" s="24">
        <v>0.45500000000000002</v>
      </c>
      <c r="G66" s="26">
        <v>2</v>
      </c>
      <c r="H66" s="25">
        <v>80.400000000000006</v>
      </c>
      <c r="I66" s="25">
        <v>79.900000000000006</v>
      </c>
      <c r="J66" t="s">
        <v>30</v>
      </c>
      <c r="M66" s="33">
        <v>3</v>
      </c>
      <c r="N66" s="33">
        <v>3</v>
      </c>
      <c r="O66" s="29" t="s">
        <v>30</v>
      </c>
      <c r="R66" s="29" t="str">
        <f>VLOOKUP(WNBA_TeamSeasons[[#This Row],[Team]],$Y$3:$Y$17,1,FALSE)</f>
        <v>Connecticut Sun</v>
      </c>
    </row>
    <row r="67" spans="1:18" x14ac:dyDescent="0.25">
      <c r="A67" s="27">
        <v>2020</v>
      </c>
      <c r="B67" t="s">
        <v>716</v>
      </c>
      <c r="C67" t="s">
        <v>729</v>
      </c>
      <c r="D67" s="27">
        <v>9</v>
      </c>
      <c r="E67" s="27">
        <v>13</v>
      </c>
      <c r="F67" s="24">
        <v>0.40899999999999997</v>
      </c>
      <c r="G67" s="26">
        <v>3</v>
      </c>
      <c r="H67" s="25">
        <v>80</v>
      </c>
      <c r="I67" s="25">
        <v>81.5</v>
      </c>
      <c r="J67" t="s">
        <v>30</v>
      </c>
      <c r="M67" s="33">
        <v>0</v>
      </c>
      <c r="N67" s="33">
        <v>1</v>
      </c>
      <c r="R67" s="29" t="str">
        <f>VLOOKUP(WNBA_TeamSeasons[[#This Row],[Team]],$Y$3:$Y$17,1,FALSE)</f>
        <v>Washington Mystics</v>
      </c>
    </row>
    <row r="68" spans="1:18" x14ac:dyDescent="0.25">
      <c r="A68" s="27">
        <v>2020</v>
      </c>
      <c r="B68" t="s">
        <v>719</v>
      </c>
      <c r="C68" t="s">
        <v>729</v>
      </c>
      <c r="D68" s="27">
        <v>7</v>
      </c>
      <c r="E68" s="27">
        <v>15</v>
      </c>
      <c r="F68" s="24">
        <v>0.318</v>
      </c>
      <c r="G68" s="26">
        <v>5</v>
      </c>
      <c r="H68" s="25">
        <v>81</v>
      </c>
      <c r="I68" s="25">
        <v>87.6</v>
      </c>
      <c r="M68" s="33">
        <v>0</v>
      </c>
      <c r="N68" s="33">
        <v>0</v>
      </c>
      <c r="R68" s="29" t="str">
        <f>VLOOKUP(WNBA_TeamSeasons[[#This Row],[Team]],$Y$3:$Y$17,1,FALSE)</f>
        <v>Atlanta Dream</v>
      </c>
    </row>
    <row r="69" spans="1:18" x14ac:dyDescent="0.25">
      <c r="A69" s="27">
        <v>2020</v>
      </c>
      <c r="B69" t="s">
        <v>718</v>
      </c>
      <c r="C69" t="s">
        <v>729</v>
      </c>
      <c r="D69" s="27">
        <v>6</v>
      </c>
      <c r="E69" s="27">
        <v>16</v>
      </c>
      <c r="F69" s="24">
        <v>0.27300000000000002</v>
      </c>
      <c r="G69" s="26">
        <v>6</v>
      </c>
      <c r="H69" s="25">
        <v>81.7</v>
      </c>
      <c r="I69" s="25">
        <v>89.5</v>
      </c>
      <c r="M69" s="33">
        <v>0</v>
      </c>
      <c r="N69" s="33">
        <v>0</v>
      </c>
      <c r="R69" s="29" t="str">
        <f>VLOOKUP(WNBA_TeamSeasons[[#This Row],[Team]],$Y$3:$Y$17,1,FALSE)</f>
        <v>Indiana Fever</v>
      </c>
    </row>
    <row r="70" spans="1:18" x14ac:dyDescent="0.25">
      <c r="A70" s="27">
        <v>2020</v>
      </c>
      <c r="B70" t="s">
        <v>711</v>
      </c>
      <c r="C70" t="s">
        <v>729</v>
      </c>
      <c r="D70" s="27">
        <v>2</v>
      </c>
      <c r="E70" s="27">
        <v>20</v>
      </c>
      <c r="F70" s="24">
        <v>9.0999999999999998E-2</v>
      </c>
      <c r="G70" s="26">
        <v>10</v>
      </c>
      <c r="H70" s="25">
        <v>71.900000000000006</v>
      </c>
      <c r="I70" s="25">
        <v>85.9</v>
      </c>
      <c r="M70" s="33">
        <v>0</v>
      </c>
      <c r="N70" s="33">
        <v>0</v>
      </c>
      <c r="R70" s="29" t="str">
        <f>VLOOKUP(WNBA_TeamSeasons[[#This Row],[Team]],$Y$3:$Y$17,1,FALSE)</f>
        <v>New York Liberty</v>
      </c>
    </row>
    <row r="71" spans="1:18" x14ac:dyDescent="0.25">
      <c r="A71" s="27">
        <v>2020</v>
      </c>
      <c r="B71" t="s">
        <v>709</v>
      </c>
      <c r="C71" t="s">
        <v>730</v>
      </c>
      <c r="D71" s="27">
        <v>18</v>
      </c>
      <c r="E71" s="27">
        <v>4</v>
      </c>
      <c r="F71" s="24">
        <v>0.81799999999999995</v>
      </c>
      <c r="G71" s="26">
        <v>0</v>
      </c>
      <c r="H71" s="25">
        <v>88.7</v>
      </c>
      <c r="I71" s="25">
        <v>80.099999999999994</v>
      </c>
      <c r="J71" t="s">
        <v>30</v>
      </c>
      <c r="K71" s="29" t="s">
        <v>30</v>
      </c>
      <c r="L71" s="29" t="s">
        <v>30</v>
      </c>
      <c r="M71" s="33">
        <v>3</v>
      </c>
      <c r="N71" s="33">
        <v>5</v>
      </c>
      <c r="O71" s="29" t="s">
        <v>30</v>
      </c>
      <c r="P71" s="29" t="s">
        <v>30</v>
      </c>
      <c r="R71" s="29" t="str">
        <f>VLOOKUP(WNBA_TeamSeasons[[#This Row],[Team]],$Y$3:$Y$17,1,FALSE)</f>
        <v>Las Vegas Aces</v>
      </c>
    </row>
    <row r="72" spans="1:18" x14ac:dyDescent="0.25">
      <c r="A72" s="27">
        <v>2020</v>
      </c>
      <c r="B72" t="s">
        <v>715</v>
      </c>
      <c r="C72" t="s">
        <v>730</v>
      </c>
      <c r="D72" s="27">
        <v>18</v>
      </c>
      <c r="E72" s="27">
        <v>4</v>
      </c>
      <c r="F72" s="24">
        <v>0.81799999999999995</v>
      </c>
      <c r="G72" s="26">
        <v>0</v>
      </c>
      <c r="H72" s="25">
        <v>87.5</v>
      </c>
      <c r="I72" s="25">
        <v>76</v>
      </c>
      <c r="J72" t="s">
        <v>30</v>
      </c>
      <c r="K72" s="29" t="s">
        <v>30</v>
      </c>
      <c r="L72" s="29" t="s">
        <v>30</v>
      </c>
      <c r="M72" s="33">
        <v>6</v>
      </c>
      <c r="N72" s="33">
        <v>0</v>
      </c>
      <c r="O72" s="29" t="s">
        <v>30</v>
      </c>
      <c r="P72" s="29" t="s">
        <v>30</v>
      </c>
      <c r="Q72" s="29" t="s">
        <v>30</v>
      </c>
      <c r="R72" s="29" t="str">
        <f>VLOOKUP(WNBA_TeamSeasons[[#This Row],[Team]],$Y$3:$Y$17,1,FALSE)</f>
        <v>Seattle Storm</v>
      </c>
    </row>
    <row r="73" spans="1:18" x14ac:dyDescent="0.25">
      <c r="A73" s="27">
        <v>2020</v>
      </c>
      <c r="B73" t="s">
        <v>717</v>
      </c>
      <c r="C73" t="s">
        <v>730</v>
      </c>
      <c r="D73" s="27">
        <v>15</v>
      </c>
      <c r="E73" s="27">
        <v>7</v>
      </c>
      <c r="F73" s="24">
        <v>0.68200000000000005</v>
      </c>
      <c r="G73" s="26">
        <v>3</v>
      </c>
      <c r="H73" s="25">
        <v>84.9</v>
      </c>
      <c r="I73" s="25">
        <v>80.3</v>
      </c>
      <c r="J73" t="s">
        <v>30</v>
      </c>
      <c r="M73" s="33">
        <v>0</v>
      </c>
      <c r="N73" s="33">
        <v>0</v>
      </c>
      <c r="R73" s="29" t="str">
        <f>VLOOKUP(WNBA_TeamSeasons[[#This Row],[Team]],$Y$3:$Y$17,1,FALSE)</f>
        <v>Los Angeles Sparks</v>
      </c>
    </row>
    <row r="74" spans="1:18" x14ac:dyDescent="0.25">
      <c r="A74" s="27">
        <v>2020</v>
      </c>
      <c r="B74" t="s">
        <v>712</v>
      </c>
      <c r="C74" t="s">
        <v>730</v>
      </c>
      <c r="D74" s="27">
        <v>14</v>
      </c>
      <c r="E74" s="27">
        <v>8</v>
      </c>
      <c r="F74" s="24">
        <v>0.63600000000000001</v>
      </c>
      <c r="G74" s="26">
        <v>4</v>
      </c>
      <c r="H74" s="25">
        <v>84.4</v>
      </c>
      <c r="I74" s="25">
        <v>80.599999999999994</v>
      </c>
      <c r="J74" t="s">
        <v>30</v>
      </c>
      <c r="M74" s="33">
        <v>0</v>
      </c>
      <c r="N74" s="33">
        <v>3</v>
      </c>
      <c r="O74" s="29" t="s">
        <v>30</v>
      </c>
      <c r="R74" s="29" t="str">
        <f>VLOOKUP(WNBA_TeamSeasons[[#This Row],[Team]],$Y$3:$Y$17,1,FALSE)</f>
        <v>Minnesota Lynx</v>
      </c>
    </row>
    <row r="75" spans="1:18" x14ac:dyDescent="0.25">
      <c r="A75" s="27">
        <v>2020</v>
      </c>
      <c r="B75" t="s">
        <v>710</v>
      </c>
      <c r="C75" t="s">
        <v>730</v>
      </c>
      <c r="D75" s="27">
        <v>13</v>
      </c>
      <c r="E75" s="27">
        <v>9</v>
      </c>
      <c r="F75" s="24">
        <v>0.59099999999999997</v>
      </c>
      <c r="G75" s="26">
        <v>5</v>
      </c>
      <c r="H75" s="25">
        <v>86.1</v>
      </c>
      <c r="I75" s="25">
        <v>84.1</v>
      </c>
      <c r="J75" t="s">
        <v>30</v>
      </c>
      <c r="M75" s="33">
        <v>1</v>
      </c>
      <c r="N75" s="33">
        <v>0</v>
      </c>
      <c r="R75" s="29" t="str">
        <f>VLOOKUP(WNBA_TeamSeasons[[#This Row],[Team]],$Y$3:$Y$17,1,FALSE)</f>
        <v>Phoenix Mercury</v>
      </c>
    </row>
    <row r="76" spans="1:18" x14ac:dyDescent="0.25">
      <c r="A76" s="27">
        <v>2020</v>
      </c>
      <c r="B76" t="s">
        <v>732</v>
      </c>
      <c r="C76" t="s">
        <v>730</v>
      </c>
      <c r="D76" s="27">
        <v>8</v>
      </c>
      <c r="E76" s="27">
        <v>14</v>
      </c>
      <c r="F76" s="24">
        <v>0.36399999999999999</v>
      </c>
      <c r="G76" s="26">
        <v>10</v>
      </c>
      <c r="H76" s="25">
        <v>83.4</v>
      </c>
      <c r="I76" s="25">
        <v>87</v>
      </c>
      <c r="M76" s="33">
        <v>0</v>
      </c>
      <c r="N76" s="33">
        <v>0</v>
      </c>
      <c r="R76" s="29" t="str">
        <f>VLOOKUP(WNBA_TeamSeasons[[#This Row],[Team]],$Y$3:$Y$17,1,FALSE)</f>
        <v>Dallas Wings</v>
      </c>
    </row>
    <row r="77" spans="1:18" x14ac:dyDescent="0.25">
      <c r="A77" s="27">
        <v>2019</v>
      </c>
      <c r="B77" t="s">
        <v>716</v>
      </c>
      <c r="C77" t="s">
        <v>729</v>
      </c>
      <c r="D77" s="27">
        <v>26</v>
      </c>
      <c r="E77" s="27">
        <v>8</v>
      </c>
      <c r="F77" s="24">
        <v>0.76500000000000001</v>
      </c>
      <c r="G77" s="26">
        <v>0</v>
      </c>
      <c r="H77" s="25">
        <v>89.3</v>
      </c>
      <c r="I77" s="25">
        <v>77.3</v>
      </c>
      <c r="J77" t="s">
        <v>30</v>
      </c>
      <c r="K77" s="29" t="s">
        <v>30</v>
      </c>
      <c r="L77" s="29" t="s">
        <v>30</v>
      </c>
      <c r="M77" s="33">
        <v>6</v>
      </c>
      <c r="N77" s="33">
        <v>3</v>
      </c>
      <c r="O77" s="29" t="s">
        <v>30</v>
      </c>
      <c r="P77" s="29" t="s">
        <v>30</v>
      </c>
      <c r="Q77" s="29" t="s">
        <v>30</v>
      </c>
      <c r="R77" s="29" t="str">
        <f>VLOOKUP(WNBA_TeamSeasons[[#This Row],[Team]],$Y$3:$Y$17,1,FALSE)</f>
        <v>Washington Mystics</v>
      </c>
    </row>
    <row r="78" spans="1:18" x14ac:dyDescent="0.25">
      <c r="A78" s="27">
        <v>2019</v>
      </c>
      <c r="B78" t="s">
        <v>713</v>
      </c>
      <c r="C78" t="s">
        <v>729</v>
      </c>
      <c r="D78" s="27">
        <v>23</v>
      </c>
      <c r="E78" s="27">
        <v>11</v>
      </c>
      <c r="F78" s="24">
        <v>0.67600000000000005</v>
      </c>
      <c r="G78" s="26">
        <v>3</v>
      </c>
      <c r="H78" s="25">
        <v>80.8</v>
      </c>
      <c r="I78" s="25">
        <v>77.900000000000006</v>
      </c>
      <c r="J78" t="s">
        <v>30</v>
      </c>
      <c r="M78" s="33">
        <v>5</v>
      </c>
      <c r="N78" s="33">
        <v>3</v>
      </c>
      <c r="O78" s="29" t="s">
        <v>30</v>
      </c>
      <c r="P78" s="29" t="s">
        <v>30</v>
      </c>
      <c r="R78" s="29" t="str">
        <f>VLOOKUP(WNBA_TeamSeasons[[#This Row],[Team]],$Y$3:$Y$17,1,FALSE)</f>
        <v>Connecticut Sun</v>
      </c>
    </row>
    <row r="79" spans="1:18" x14ac:dyDescent="0.25">
      <c r="A79" s="27">
        <v>2019</v>
      </c>
      <c r="B79" t="s">
        <v>714</v>
      </c>
      <c r="C79" t="s">
        <v>729</v>
      </c>
      <c r="D79" s="27">
        <v>20</v>
      </c>
      <c r="E79" s="27">
        <v>14</v>
      </c>
      <c r="F79" s="24">
        <v>0.58799999999999997</v>
      </c>
      <c r="G79" s="26">
        <v>6</v>
      </c>
      <c r="H79" s="25">
        <v>84.6</v>
      </c>
      <c r="I79" s="25">
        <v>83.3</v>
      </c>
      <c r="J79" t="s">
        <v>30</v>
      </c>
      <c r="M79" s="33">
        <v>1</v>
      </c>
      <c r="N79" s="33">
        <v>0</v>
      </c>
      <c r="R79" s="29" t="str">
        <f>VLOOKUP(WNBA_TeamSeasons[[#This Row],[Team]],$Y$3:$Y$17,1,FALSE)</f>
        <v>Chicago Sky</v>
      </c>
    </row>
    <row r="80" spans="1:18" x14ac:dyDescent="0.25">
      <c r="A80" s="27">
        <v>2019</v>
      </c>
      <c r="B80" t="s">
        <v>718</v>
      </c>
      <c r="C80" t="s">
        <v>729</v>
      </c>
      <c r="D80" s="27">
        <v>13</v>
      </c>
      <c r="E80" s="27">
        <v>21</v>
      </c>
      <c r="F80" s="24">
        <v>0.38200000000000001</v>
      </c>
      <c r="G80" s="26">
        <v>13</v>
      </c>
      <c r="H80" s="25">
        <v>77.599999999999994</v>
      </c>
      <c r="I80" s="25">
        <v>80.3</v>
      </c>
      <c r="M80" s="33">
        <v>0</v>
      </c>
      <c r="N80" s="33">
        <v>0</v>
      </c>
      <c r="R80" s="29" t="str">
        <f>VLOOKUP(WNBA_TeamSeasons[[#This Row],[Team]],$Y$3:$Y$17,1,FALSE)</f>
        <v>Indiana Fever</v>
      </c>
    </row>
    <row r="81" spans="1:18" x14ac:dyDescent="0.25">
      <c r="A81" s="27">
        <v>2019</v>
      </c>
      <c r="B81" t="s">
        <v>711</v>
      </c>
      <c r="C81" t="s">
        <v>729</v>
      </c>
      <c r="D81" s="27">
        <v>10</v>
      </c>
      <c r="E81" s="27">
        <v>24</v>
      </c>
      <c r="F81" s="24">
        <v>0.29399999999999998</v>
      </c>
      <c r="G81" s="26">
        <v>16</v>
      </c>
      <c r="H81" s="25">
        <v>77.400000000000006</v>
      </c>
      <c r="I81" s="25">
        <v>84.7</v>
      </c>
      <c r="M81" s="33">
        <v>0</v>
      </c>
      <c r="N81" s="33">
        <v>0</v>
      </c>
      <c r="R81" s="29" t="str">
        <f>VLOOKUP(WNBA_TeamSeasons[[#This Row],[Team]],$Y$3:$Y$17,1,FALSE)</f>
        <v>New York Liberty</v>
      </c>
    </row>
    <row r="82" spans="1:18" x14ac:dyDescent="0.25">
      <c r="A82" s="27">
        <v>2019</v>
      </c>
      <c r="B82" t="s">
        <v>719</v>
      </c>
      <c r="C82" t="s">
        <v>729</v>
      </c>
      <c r="D82" s="27">
        <v>8</v>
      </c>
      <c r="E82" s="27">
        <v>26</v>
      </c>
      <c r="F82" s="24">
        <v>0.23499999999999999</v>
      </c>
      <c r="G82" s="26">
        <v>18</v>
      </c>
      <c r="H82" s="25">
        <v>71.2</v>
      </c>
      <c r="I82" s="25">
        <v>78.900000000000006</v>
      </c>
      <c r="M82" s="33">
        <v>0</v>
      </c>
      <c r="N82" s="33">
        <v>0</v>
      </c>
      <c r="R82" s="29" t="str">
        <f>VLOOKUP(WNBA_TeamSeasons[[#This Row],[Team]],$Y$3:$Y$17,1,FALSE)</f>
        <v>Atlanta Dream</v>
      </c>
    </row>
    <row r="83" spans="1:18" x14ac:dyDescent="0.25">
      <c r="A83" s="27">
        <v>2019</v>
      </c>
      <c r="B83" t="s">
        <v>717</v>
      </c>
      <c r="C83" t="s">
        <v>730</v>
      </c>
      <c r="D83" s="27">
        <v>22</v>
      </c>
      <c r="E83" s="27">
        <v>12</v>
      </c>
      <c r="F83" s="24">
        <v>0.64700000000000002</v>
      </c>
      <c r="G83" s="26">
        <v>0</v>
      </c>
      <c r="H83" s="25">
        <v>80.099999999999994</v>
      </c>
      <c r="I83" s="25">
        <v>77.2</v>
      </c>
      <c r="J83" t="s">
        <v>30</v>
      </c>
      <c r="K83" s="29" t="s">
        <v>30</v>
      </c>
      <c r="M83" s="33">
        <v>0</v>
      </c>
      <c r="N83" s="33">
        <v>3</v>
      </c>
      <c r="O83" s="29" t="s">
        <v>30</v>
      </c>
      <c r="R83" s="29" t="str">
        <f>VLOOKUP(WNBA_TeamSeasons[[#This Row],[Team]],$Y$3:$Y$17,1,FALSE)</f>
        <v>Los Angeles Sparks</v>
      </c>
    </row>
    <row r="84" spans="1:18" x14ac:dyDescent="0.25">
      <c r="A84" s="27">
        <v>2019</v>
      </c>
      <c r="B84" t="s">
        <v>709</v>
      </c>
      <c r="C84" t="s">
        <v>730</v>
      </c>
      <c r="D84" s="27">
        <v>21</v>
      </c>
      <c r="E84" s="27">
        <v>13</v>
      </c>
      <c r="F84" s="24">
        <v>0.61799999999999999</v>
      </c>
      <c r="G84" s="26">
        <v>1</v>
      </c>
      <c r="H84" s="25">
        <v>82.2</v>
      </c>
      <c r="I84" s="25">
        <v>78.8</v>
      </c>
      <c r="J84" t="s">
        <v>30</v>
      </c>
      <c r="M84" s="33">
        <v>1</v>
      </c>
      <c r="N84" s="33">
        <v>3</v>
      </c>
      <c r="O84" s="29" t="s">
        <v>30</v>
      </c>
      <c r="R84" s="29" t="str">
        <f>VLOOKUP(WNBA_TeamSeasons[[#This Row],[Team]],$Y$3:$Y$17,1,FALSE)</f>
        <v>Las Vegas Aces</v>
      </c>
    </row>
    <row r="85" spans="1:18" x14ac:dyDescent="0.25">
      <c r="A85" s="27">
        <v>2019</v>
      </c>
      <c r="B85" t="s">
        <v>712</v>
      </c>
      <c r="C85" t="s">
        <v>730</v>
      </c>
      <c r="D85" s="27">
        <v>18</v>
      </c>
      <c r="E85" s="27">
        <v>16</v>
      </c>
      <c r="F85" s="24">
        <v>0.52900000000000003</v>
      </c>
      <c r="G85" s="26">
        <v>4</v>
      </c>
      <c r="H85" s="25">
        <v>78.400000000000006</v>
      </c>
      <c r="I85" s="25">
        <v>75.900000000000006</v>
      </c>
      <c r="J85" t="s">
        <v>30</v>
      </c>
      <c r="M85" s="33">
        <v>0</v>
      </c>
      <c r="N85" s="33">
        <v>1</v>
      </c>
      <c r="R85" s="29" t="str">
        <f>VLOOKUP(WNBA_TeamSeasons[[#This Row],[Team]],$Y$3:$Y$17,1,FALSE)</f>
        <v>Minnesota Lynx</v>
      </c>
    </row>
    <row r="86" spans="1:18" x14ac:dyDescent="0.25">
      <c r="A86" s="27">
        <v>2019</v>
      </c>
      <c r="B86" t="s">
        <v>715</v>
      </c>
      <c r="C86" t="s">
        <v>730</v>
      </c>
      <c r="D86" s="27">
        <v>18</v>
      </c>
      <c r="E86" s="27">
        <v>16</v>
      </c>
      <c r="F86" s="24">
        <v>0.52900000000000003</v>
      </c>
      <c r="G86" s="26">
        <v>4</v>
      </c>
      <c r="H86" s="25">
        <v>74.8</v>
      </c>
      <c r="I86" s="25">
        <v>75.099999999999994</v>
      </c>
      <c r="J86" t="s">
        <v>30</v>
      </c>
      <c r="M86" s="33">
        <v>1</v>
      </c>
      <c r="N86" s="33">
        <v>0</v>
      </c>
      <c r="R86" s="29" t="str">
        <f>VLOOKUP(WNBA_TeamSeasons[[#This Row],[Team]],$Y$3:$Y$17,1,FALSE)</f>
        <v>Seattle Storm</v>
      </c>
    </row>
    <row r="87" spans="1:18" x14ac:dyDescent="0.25">
      <c r="A87" s="27">
        <v>2019</v>
      </c>
      <c r="B87" t="s">
        <v>710</v>
      </c>
      <c r="C87" t="s">
        <v>730</v>
      </c>
      <c r="D87" s="27">
        <v>15</v>
      </c>
      <c r="E87" s="27">
        <v>19</v>
      </c>
      <c r="F87" s="24">
        <v>0.441</v>
      </c>
      <c r="G87" s="26">
        <v>7</v>
      </c>
      <c r="H87" s="25">
        <v>76.5</v>
      </c>
      <c r="I87" s="25">
        <v>77.599999999999994</v>
      </c>
      <c r="J87" t="s">
        <v>30</v>
      </c>
      <c r="M87" s="33">
        <v>0</v>
      </c>
      <c r="N87" s="33">
        <v>1</v>
      </c>
      <c r="R87" s="29" t="str">
        <f>VLOOKUP(WNBA_TeamSeasons[[#This Row],[Team]],$Y$3:$Y$17,1,FALSE)</f>
        <v>Phoenix Mercury</v>
      </c>
    </row>
    <row r="88" spans="1:18" x14ac:dyDescent="0.25">
      <c r="A88" s="27">
        <v>2019</v>
      </c>
      <c r="B88" t="s">
        <v>732</v>
      </c>
      <c r="C88" t="s">
        <v>730</v>
      </c>
      <c r="D88" s="27">
        <v>10</v>
      </c>
      <c r="E88" s="27">
        <v>24</v>
      </c>
      <c r="F88" s="24">
        <v>0.29399999999999998</v>
      </c>
      <c r="G88" s="26">
        <v>12</v>
      </c>
      <c r="H88" s="25">
        <v>71.599999999999994</v>
      </c>
      <c r="I88" s="25">
        <v>77.400000000000006</v>
      </c>
      <c r="M88" s="33">
        <v>0</v>
      </c>
      <c r="N88" s="33">
        <v>0</v>
      </c>
      <c r="R88" s="29" t="str">
        <f>VLOOKUP(WNBA_TeamSeasons[[#This Row],[Team]],$Y$3:$Y$17,1,FALSE)</f>
        <v>Dallas Wings</v>
      </c>
    </row>
    <row r="89" spans="1:18" x14ac:dyDescent="0.25">
      <c r="A89" s="27">
        <v>2018</v>
      </c>
      <c r="B89" t="s">
        <v>719</v>
      </c>
      <c r="C89" t="s">
        <v>729</v>
      </c>
      <c r="D89" s="27">
        <v>23</v>
      </c>
      <c r="E89" s="27">
        <v>11</v>
      </c>
      <c r="F89" s="24">
        <v>0.67600000000000005</v>
      </c>
      <c r="G89" s="26">
        <v>0</v>
      </c>
      <c r="H89" s="25">
        <v>81.8</v>
      </c>
      <c r="I89" s="25">
        <v>79.5</v>
      </c>
      <c r="J89" t="s">
        <v>30</v>
      </c>
      <c r="K89" s="29" t="s">
        <v>30</v>
      </c>
      <c r="M89" s="33">
        <v>2</v>
      </c>
      <c r="N89" s="33">
        <v>3</v>
      </c>
      <c r="O89" s="29" t="s">
        <v>30</v>
      </c>
      <c r="R89" s="29" t="str">
        <f>VLOOKUP(WNBA_TeamSeasons[[#This Row],[Team]],$Y$3:$Y$17,1,FALSE)</f>
        <v>Atlanta Dream</v>
      </c>
    </row>
    <row r="90" spans="1:18" x14ac:dyDescent="0.25">
      <c r="A90" s="27">
        <v>2018</v>
      </c>
      <c r="B90" t="s">
        <v>716</v>
      </c>
      <c r="C90" t="s">
        <v>729</v>
      </c>
      <c r="D90" s="27">
        <v>22</v>
      </c>
      <c r="E90" s="27">
        <v>12</v>
      </c>
      <c r="F90" s="24">
        <v>0.64700000000000002</v>
      </c>
      <c r="G90" s="26">
        <v>1.5</v>
      </c>
      <c r="H90" s="25">
        <v>84.5</v>
      </c>
      <c r="I90" s="25">
        <v>81.400000000000006</v>
      </c>
      <c r="J90" t="s">
        <v>30</v>
      </c>
      <c r="M90" s="33">
        <v>3</v>
      </c>
      <c r="N90" s="33">
        <v>5</v>
      </c>
      <c r="O90" s="29" t="s">
        <v>30</v>
      </c>
      <c r="P90" s="29" t="s">
        <v>30</v>
      </c>
      <c r="R90" s="29" t="str">
        <f>VLOOKUP(WNBA_TeamSeasons[[#This Row],[Team]],$Y$3:$Y$17,1,FALSE)</f>
        <v>Washington Mystics</v>
      </c>
    </row>
    <row r="91" spans="1:18" x14ac:dyDescent="0.25">
      <c r="A91" s="27">
        <v>2018</v>
      </c>
      <c r="B91" t="s">
        <v>713</v>
      </c>
      <c r="C91" t="s">
        <v>729</v>
      </c>
      <c r="D91" s="27">
        <v>21</v>
      </c>
      <c r="E91" s="27">
        <v>13</v>
      </c>
      <c r="F91" s="24">
        <v>0.61799999999999999</v>
      </c>
      <c r="G91" s="26">
        <v>2</v>
      </c>
      <c r="H91" s="25">
        <v>87.6</v>
      </c>
      <c r="I91" s="25">
        <v>81.7</v>
      </c>
      <c r="J91" t="s">
        <v>30</v>
      </c>
      <c r="M91" s="33">
        <v>0</v>
      </c>
      <c r="N91" s="33">
        <v>0</v>
      </c>
      <c r="R91" s="29" t="str">
        <f>VLOOKUP(WNBA_TeamSeasons[[#This Row],[Team]],$Y$3:$Y$17,1,FALSE)</f>
        <v>Connecticut Sun</v>
      </c>
    </row>
    <row r="92" spans="1:18" x14ac:dyDescent="0.25">
      <c r="A92" s="27">
        <v>2018</v>
      </c>
      <c r="B92" t="s">
        <v>714</v>
      </c>
      <c r="C92" t="s">
        <v>729</v>
      </c>
      <c r="D92" s="27">
        <v>13</v>
      </c>
      <c r="E92" s="27">
        <v>21</v>
      </c>
      <c r="F92" s="24">
        <v>0.38200000000000001</v>
      </c>
      <c r="G92" s="26">
        <v>10</v>
      </c>
      <c r="H92" s="25">
        <v>83.8</v>
      </c>
      <c r="I92" s="25">
        <v>90.1</v>
      </c>
      <c r="M92" s="33">
        <v>0</v>
      </c>
      <c r="N92" s="33">
        <v>0</v>
      </c>
      <c r="R92" s="29" t="str">
        <f>VLOOKUP(WNBA_TeamSeasons[[#This Row],[Team]],$Y$3:$Y$17,1,FALSE)</f>
        <v>Chicago Sky</v>
      </c>
    </row>
    <row r="93" spans="1:18" x14ac:dyDescent="0.25">
      <c r="A93" s="27">
        <v>2018</v>
      </c>
      <c r="B93" t="s">
        <v>711</v>
      </c>
      <c r="C93" t="s">
        <v>729</v>
      </c>
      <c r="D93" s="27">
        <v>7</v>
      </c>
      <c r="E93" s="27">
        <v>27</v>
      </c>
      <c r="F93" s="24">
        <v>0.20599999999999999</v>
      </c>
      <c r="G93" s="26">
        <v>16</v>
      </c>
      <c r="H93" s="25">
        <v>77.7</v>
      </c>
      <c r="I93" s="25">
        <v>84.8</v>
      </c>
      <c r="M93" s="33">
        <v>0</v>
      </c>
      <c r="N93" s="33">
        <v>0</v>
      </c>
      <c r="R93" s="29" t="str">
        <f>VLOOKUP(WNBA_TeamSeasons[[#This Row],[Team]],$Y$3:$Y$17,1,FALSE)</f>
        <v>New York Liberty</v>
      </c>
    </row>
    <row r="94" spans="1:18" x14ac:dyDescent="0.25">
      <c r="A94" s="27">
        <v>2018</v>
      </c>
      <c r="B94" t="s">
        <v>718</v>
      </c>
      <c r="C94" t="s">
        <v>729</v>
      </c>
      <c r="D94" s="27">
        <v>6</v>
      </c>
      <c r="E94" s="27">
        <v>28</v>
      </c>
      <c r="F94" s="24">
        <v>0.17599999999999999</v>
      </c>
      <c r="G94" s="26">
        <v>17</v>
      </c>
      <c r="H94" s="25">
        <v>76.400000000000006</v>
      </c>
      <c r="I94" s="25">
        <v>85.7</v>
      </c>
      <c r="M94" s="33">
        <v>0</v>
      </c>
      <c r="N94" s="33">
        <v>0</v>
      </c>
      <c r="R94" s="29" t="str">
        <f>VLOOKUP(WNBA_TeamSeasons[[#This Row],[Team]],$Y$3:$Y$17,1,FALSE)</f>
        <v>Indiana Fever</v>
      </c>
    </row>
    <row r="95" spans="1:18" x14ac:dyDescent="0.25">
      <c r="A95" s="27">
        <v>2018</v>
      </c>
      <c r="B95" t="s">
        <v>715</v>
      </c>
      <c r="C95" t="s">
        <v>730</v>
      </c>
      <c r="D95" s="27">
        <v>26</v>
      </c>
      <c r="E95" s="27">
        <v>8</v>
      </c>
      <c r="F95" s="24">
        <v>0.76500000000000001</v>
      </c>
      <c r="G95" s="26">
        <v>0</v>
      </c>
      <c r="H95" s="25">
        <v>87.2</v>
      </c>
      <c r="I95" s="25">
        <v>79.7</v>
      </c>
      <c r="J95" t="s">
        <v>30</v>
      </c>
      <c r="K95" s="29" t="s">
        <v>30</v>
      </c>
      <c r="L95" s="29" t="s">
        <v>30</v>
      </c>
      <c r="M95" s="33">
        <v>6</v>
      </c>
      <c r="N95" s="33">
        <v>2</v>
      </c>
      <c r="O95" s="29" t="s">
        <v>30</v>
      </c>
      <c r="P95" s="29" t="s">
        <v>30</v>
      </c>
      <c r="Q95" s="29" t="s">
        <v>30</v>
      </c>
      <c r="R95" s="29" t="str">
        <f>VLOOKUP(WNBA_TeamSeasons[[#This Row],[Team]],$Y$3:$Y$17,1,FALSE)</f>
        <v>Seattle Storm</v>
      </c>
    </row>
    <row r="96" spans="1:18" x14ac:dyDescent="0.25">
      <c r="A96" s="27">
        <v>2018</v>
      </c>
      <c r="B96" t="s">
        <v>710</v>
      </c>
      <c r="C96" t="s">
        <v>730</v>
      </c>
      <c r="D96" s="27">
        <v>20</v>
      </c>
      <c r="E96" s="27">
        <v>14</v>
      </c>
      <c r="F96" s="24">
        <v>0.58799999999999997</v>
      </c>
      <c r="G96" s="26">
        <v>6</v>
      </c>
      <c r="H96" s="25">
        <v>85.8</v>
      </c>
      <c r="I96" s="25">
        <v>83.2</v>
      </c>
      <c r="J96" t="s">
        <v>30</v>
      </c>
      <c r="M96" s="33">
        <v>3</v>
      </c>
      <c r="N96" s="33">
        <v>3</v>
      </c>
      <c r="O96" s="29" t="s">
        <v>30</v>
      </c>
      <c r="R96" s="29" t="str">
        <f>VLOOKUP(WNBA_TeamSeasons[[#This Row],[Team]],$Y$3:$Y$17,1,FALSE)</f>
        <v>Phoenix Mercury</v>
      </c>
    </row>
    <row r="97" spans="1:18" x14ac:dyDescent="0.25">
      <c r="A97" s="27">
        <v>2018</v>
      </c>
      <c r="B97" t="s">
        <v>717</v>
      </c>
      <c r="C97" t="s">
        <v>730</v>
      </c>
      <c r="D97" s="27">
        <v>19</v>
      </c>
      <c r="E97" s="27">
        <v>15</v>
      </c>
      <c r="F97" s="24">
        <v>0.55900000000000005</v>
      </c>
      <c r="G97" s="26">
        <v>7</v>
      </c>
      <c r="H97" s="25">
        <v>78.900000000000006</v>
      </c>
      <c r="I97" s="25">
        <v>77</v>
      </c>
      <c r="J97" t="s">
        <v>30</v>
      </c>
      <c r="M97" s="33">
        <v>1</v>
      </c>
      <c r="N97" s="33">
        <v>0</v>
      </c>
      <c r="R97" s="29" t="str">
        <f>VLOOKUP(WNBA_TeamSeasons[[#This Row],[Team]],$Y$3:$Y$17,1,FALSE)</f>
        <v>Los Angeles Sparks</v>
      </c>
    </row>
    <row r="98" spans="1:18" x14ac:dyDescent="0.25">
      <c r="A98" s="27">
        <v>2018</v>
      </c>
      <c r="B98" t="s">
        <v>712</v>
      </c>
      <c r="C98" t="s">
        <v>730</v>
      </c>
      <c r="D98" s="27">
        <v>18</v>
      </c>
      <c r="E98" s="27">
        <v>16</v>
      </c>
      <c r="F98" s="24">
        <v>0.52900000000000003</v>
      </c>
      <c r="G98" s="26">
        <v>8</v>
      </c>
      <c r="H98" s="25">
        <v>78.900000000000006</v>
      </c>
      <c r="I98" s="25">
        <v>78.3</v>
      </c>
      <c r="J98" t="s">
        <v>30</v>
      </c>
      <c r="M98" s="33">
        <v>0</v>
      </c>
      <c r="N98" s="33">
        <v>1</v>
      </c>
      <c r="R98" s="29" t="str">
        <f>VLOOKUP(WNBA_TeamSeasons[[#This Row],[Team]],$Y$3:$Y$17,1,FALSE)</f>
        <v>Minnesota Lynx</v>
      </c>
    </row>
    <row r="99" spans="1:18" x14ac:dyDescent="0.25">
      <c r="A99" s="27">
        <v>2018</v>
      </c>
      <c r="B99" t="s">
        <v>732</v>
      </c>
      <c r="C99" t="s">
        <v>730</v>
      </c>
      <c r="D99" s="27">
        <v>15</v>
      </c>
      <c r="E99" s="27">
        <v>19</v>
      </c>
      <c r="F99" s="24">
        <v>0.441</v>
      </c>
      <c r="G99" s="26">
        <v>11</v>
      </c>
      <c r="H99" s="25">
        <v>86.6</v>
      </c>
      <c r="I99" s="25">
        <v>85.4</v>
      </c>
      <c r="J99" t="s">
        <v>30</v>
      </c>
      <c r="M99" s="33">
        <v>0</v>
      </c>
      <c r="N99" s="33">
        <v>1</v>
      </c>
      <c r="R99" s="29" t="str">
        <f>VLOOKUP(WNBA_TeamSeasons[[#This Row],[Team]],$Y$3:$Y$17,1,FALSE)</f>
        <v>Dallas Wings</v>
      </c>
    </row>
    <row r="100" spans="1:18" x14ac:dyDescent="0.25">
      <c r="A100" s="27">
        <v>2018</v>
      </c>
      <c r="B100" t="s">
        <v>709</v>
      </c>
      <c r="C100" t="s">
        <v>730</v>
      </c>
      <c r="D100" s="27">
        <v>14</v>
      </c>
      <c r="E100" s="27">
        <v>20</v>
      </c>
      <c r="F100" s="24">
        <v>0.41199999999999998</v>
      </c>
      <c r="G100" s="26">
        <v>11.5</v>
      </c>
      <c r="H100" s="25">
        <v>84.4</v>
      </c>
      <c r="I100" s="25">
        <v>87</v>
      </c>
      <c r="M100" s="33">
        <v>0</v>
      </c>
      <c r="N100" s="33">
        <v>0</v>
      </c>
      <c r="R100" s="29" t="str">
        <f>VLOOKUP(WNBA_TeamSeasons[[#This Row],[Team]],$Y$3:$Y$17,1,FALSE)</f>
        <v>Las Vegas Aces</v>
      </c>
    </row>
    <row r="101" spans="1:18" x14ac:dyDescent="0.25">
      <c r="A101" s="27">
        <v>2017</v>
      </c>
      <c r="B101" t="s">
        <v>711</v>
      </c>
      <c r="C101" t="s">
        <v>729</v>
      </c>
      <c r="D101" s="27">
        <v>22</v>
      </c>
      <c r="E101" s="27">
        <v>12</v>
      </c>
      <c r="F101" s="24">
        <v>0.64700000000000002</v>
      </c>
      <c r="G101" s="26">
        <v>0</v>
      </c>
      <c r="H101" s="25">
        <v>79.7</v>
      </c>
      <c r="I101" s="25">
        <v>76.599999999999994</v>
      </c>
      <c r="J101" t="s">
        <v>30</v>
      </c>
      <c r="K101" s="29" t="s">
        <v>30</v>
      </c>
      <c r="M101" s="33">
        <v>0</v>
      </c>
      <c r="N101" s="33">
        <v>0</v>
      </c>
      <c r="R101" s="29" t="str">
        <f>VLOOKUP(WNBA_TeamSeasons[[#This Row],[Team]],$Y$3:$Y$17,1,FALSE)</f>
        <v>New York Liberty</v>
      </c>
    </row>
    <row r="102" spans="1:18" x14ac:dyDescent="0.25">
      <c r="A102" s="27">
        <v>2017</v>
      </c>
      <c r="B102" t="s">
        <v>713</v>
      </c>
      <c r="C102" t="s">
        <v>729</v>
      </c>
      <c r="D102" s="27">
        <v>21</v>
      </c>
      <c r="E102" s="27">
        <v>13</v>
      </c>
      <c r="F102" s="24">
        <v>0.61799999999999999</v>
      </c>
      <c r="G102" s="26">
        <v>1</v>
      </c>
      <c r="H102" s="25">
        <v>86</v>
      </c>
      <c r="I102" s="25">
        <v>81.599999999999994</v>
      </c>
      <c r="J102" t="s">
        <v>30</v>
      </c>
      <c r="M102" s="33">
        <v>0</v>
      </c>
      <c r="N102" s="33">
        <v>0</v>
      </c>
      <c r="R102" s="29" t="str">
        <f>VLOOKUP(WNBA_TeamSeasons[[#This Row],[Team]],$Y$3:$Y$17,1,FALSE)</f>
        <v>Connecticut Sun</v>
      </c>
    </row>
    <row r="103" spans="1:18" x14ac:dyDescent="0.25">
      <c r="A103" s="27">
        <v>2017</v>
      </c>
      <c r="B103" t="s">
        <v>716</v>
      </c>
      <c r="C103" t="s">
        <v>729</v>
      </c>
      <c r="D103" s="27">
        <v>18</v>
      </c>
      <c r="E103" s="27">
        <v>16</v>
      </c>
      <c r="F103" s="24">
        <v>0.52900000000000003</v>
      </c>
      <c r="G103" s="26">
        <v>4</v>
      </c>
      <c r="H103" s="25">
        <v>81.7</v>
      </c>
      <c r="I103" s="25">
        <v>81</v>
      </c>
      <c r="J103" t="s">
        <v>30</v>
      </c>
      <c r="M103" s="33">
        <v>1</v>
      </c>
      <c r="N103" s="33">
        <v>3</v>
      </c>
      <c r="O103" s="29" t="s">
        <v>30</v>
      </c>
      <c r="R103" s="29" t="str">
        <f>VLOOKUP(WNBA_TeamSeasons[[#This Row],[Team]],$Y$3:$Y$17,1,FALSE)</f>
        <v>Washington Mystics</v>
      </c>
    </row>
    <row r="104" spans="1:18" x14ac:dyDescent="0.25">
      <c r="A104" s="27">
        <v>2017</v>
      </c>
      <c r="B104" t="s">
        <v>719</v>
      </c>
      <c r="C104" t="s">
        <v>729</v>
      </c>
      <c r="D104" s="27">
        <v>12</v>
      </c>
      <c r="E104" s="27">
        <v>22</v>
      </c>
      <c r="F104" s="24">
        <v>0.35299999999999998</v>
      </c>
      <c r="G104" s="26">
        <v>10</v>
      </c>
      <c r="H104" s="25">
        <v>78.900000000000006</v>
      </c>
      <c r="I104" s="25">
        <v>82.7</v>
      </c>
      <c r="M104" s="33">
        <v>0</v>
      </c>
      <c r="N104" s="33">
        <v>0</v>
      </c>
      <c r="R104" s="29" t="str">
        <f>VLOOKUP(WNBA_TeamSeasons[[#This Row],[Team]],$Y$3:$Y$17,1,FALSE)</f>
        <v>Atlanta Dream</v>
      </c>
    </row>
    <row r="105" spans="1:18" x14ac:dyDescent="0.25">
      <c r="A105" s="27">
        <v>2017</v>
      </c>
      <c r="B105" t="s">
        <v>714</v>
      </c>
      <c r="C105" t="s">
        <v>729</v>
      </c>
      <c r="D105" s="27">
        <v>12</v>
      </c>
      <c r="E105" s="27">
        <v>22</v>
      </c>
      <c r="F105" s="24">
        <v>0.35299999999999998</v>
      </c>
      <c r="G105" s="26">
        <v>10</v>
      </c>
      <c r="H105" s="25">
        <v>82.1</v>
      </c>
      <c r="I105" s="25">
        <v>87.2</v>
      </c>
      <c r="M105" s="33">
        <v>0</v>
      </c>
      <c r="N105" s="33">
        <v>0</v>
      </c>
      <c r="R105" s="29" t="str">
        <f>VLOOKUP(WNBA_TeamSeasons[[#This Row],[Team]],$Y$3:$Y$17,1,FALSE)</f>
        <v>Chicago Sky</v>
      </c>
    </row>
    <row r="106" spans="1:18" x14ac:dyDescent="0.25">
      <c r="A106" s="27">
        <v>2017</v>
      </c>
      <c r="B106" t="s">
        <v>718</v>
      </c>
      <c r="C106" t="s">
        <v>729</v>
      </c>
      <c r="D106" s="27">
        <v>9</v>
      </c>
      <c r="E106" s="27">
        <v>25</v>
      </c>
      <c r="F106" s="24">
        <v>0.26500000000000001</v>
      </c>
      <c r="G106" s="26">
        <v>13</v>
      </c>
      <c r="H106" s="25">
        <v>75.099999999999994</v>
      </c>
      <c r="I106" s="25">
        <v>84.3</v>
      </c>
      <c r="M106" s="33">
        <v>0</v>
      </c>
      <c r="N106" s="33">
        <v>0</v>
      </c>
      <c r="R106" s="29" t="str">
        <f>VLOOKUP(WNBA_TeamSeasons[[#This Row],[Team]],$Y$3:$Y$17,1,FALSE)</f>
        <v>Indiana Fever</v>
      </c>
    </row>
    <row r="107" spans="1:18" x14ac:dyDescent="0.25">
      <c r="A107" s="27">
        <v>2017</v>
      </c>
      <c r="B107" t="s">
        <v>712</v>
      </c>
      <c r="C107" t="s">
        <v>730</v>
      </c>
      <c r="D107" s="27">
        <v>27</v>
      </c>
      <c r="E107" s="27">
        <v>7</v>
      </c>
      <c r="F107" s="24">
        <v>0.79400000000000004</v>
      </c>
      <c r="G107" s="26">
        <v>0</v>
      </c>
      <c r="H107" s="25">
        <v>85.4</v>
      </c>
      <c r="I107" s="25">
        <v>74.2</v>
      </c>
      <c r="J107" t="s">
        <v>30</v>
      </c>
      <c r="K107" s="29" t="s">
        <v>30</v>
      </c>
      <c r="L107" s="29" t="s">
        <v>30</v>
      </c>
      <c r="M107" s="33">
        <v>6</v>
      </c>
      <c r="N107" s="33">
        <v>2</v>
      </c>
      <c r="O107" s="29" t="s">
        <v>30</v>
      </c>
      <c r="P107" s="29" t="s">
        <v>30</v>
      </c>
      <c r="Q107" s="29" t="s">
        <v>30</v>
      </c>
      <c r="R107" s="29" t="str">
        <f>VLOOKUP(WNBA_TeamSeasons[[#This Row],[Team]],$Y$3:$Y$17,1,FALSE)</f>
        <v>Minnesota Lynx</v>
      </c>
    </row>
    <row r="108" spans="1:18" x14ac:dyDescent="0.25">
      <c r="A108" s="27">
        <v>2017</v>
      </c>
      <c r="B108" t="s">
        <v>717</v>
      </c>
      <c r="C108" t="s">
        <v>730</v>
      </c>
      <c r="D108" s="27">
        <v>26</v>
      </c>
      <c r="E108" s="27">
        <v>8</v>
      </c>
      <c r="F108" s="24">
        <v>0.76500000000000001</v>
      </c>
      <c r="G108" s="26">
        <v>1</v>
      </c>
      <c r="H108" s="25">
        <v>83.5</v>
      </c>
      <c r="I108" s="25">
        <v>75.2</v>
      </c>
      <c r="J108" t="s">
        <v>30</v>
      </c>
      <c r="M108" s="33">
        <v>5</v>
      </c>
      <c r="N108" s="33">
        <v>3</v>
      </c>
      <c r="O108" s="29" t="s">
        <v>30</v>
      </c>
      <c r="P108" s="29" t="s">
        <v>30</v>
      </c>
      <c r="R108" s="29" t="str">
        <f>VLOOKUP(WNBA_TeamSeasons[[#This Row],[Team]],$Y$3:$Y$17,1,FALSE)</f>
        <v>Los Angeles Sparks</v>
      </c>
    </row>
    <row r="109" spans="1:18" x14ac:dyDescent="0.25">
      <c r="A109" s="27">
        <v>2017</v>
      </c>
      <c r="B109" t="s">
        <v>710</v>
      </c>
      <c r="C109" t="s">
        <v>730</v>
      </c>
      <c r="D109" s="27">
        <v>18</v>
      </c>
      <c r="E109" s="27">
        <v>16</v>
      </c>
      <c r="F109" s="24">
        <v>0.52900000000000003</v>
      </c>
      <c r="G109" s="26">
        <v>9</v>
      </c>
      <c r="H109" s="25">
        <v>81.900000000000006</v>
      </c>
      <c r="I109" s="25">
        <v>81.900000000000006</v>
      </c>
      <c r="J109" t="s">
        <v>30</v>
      </c>
      <c r="M109" s="33">
        <v>1</v>
      </c>
      <c r="N109" s="33">
        <v>3</v>
      </c>
      <c r="O109" s="29" t="s">
        <v>30</v>
      </c>
      <c r="R109" s="29" t="str">
        <f>VLOOKUP(WNBA_TeamSeasons[[#This Row],[Team]],$Y$3:$Y$17,1,FALSE)</f>
        <v>Phoenix Mercury</v>
      </c>
    </row>
    <row r="110" spans="1:18" x14ac:dyDescent="0.25">
      <c r="A110" s="27">
        <v>2017</v>
      </c>
      <c r="B110" t="s">
        <v>732</v>
      </c>
      <c r="C110" t="s">
        <v>730</v>
      </c>
      <c r="D110" s="27">
        <v>16</v>
      </c>
      <c r="E110" s="27">
        <v>18</v>
      </c>
      <c r="F110" s="24">
        <v>0.47099999999999997</v>
      </c>
      <c r="G110" s="26">
        <v>11</v>
      </c>
      <c r="H110" s="25">
        <v>86.1</v>
      </c>
      <c r="I110" s="25">
        <v>88.8</v>
      </c>
      <c r="J110" t="s">
        <v>30</v>
      </c>
      <c r="M110" s="33">
        <v>0</v>
      </c>
      <c r="N110" s="33">
        <v>1</v>
      </c>
      <c r="R110" s="29" t="str">
        <f>VLOOKUP(WNBA_TeamSeasons[[#This Row],[Team]],$Y$3:$Y$17,1,FALSE)</f>
        <v>Dallas Wings</v>
      </c>
    </row>
    <row r="111" spans="1:18" x14ac:dyDescent="0.25">
      <c r="A111" s="27">
        <v>2017</v>
      </c>
      <c r="B111" t="s">
        <v>715</v>
      </c>
      <c r="C111" t="s">
        <v>730</v>
      </c>
      <c r="D111" s="27">
        <v>15</v>
      </c>
      <c r="E111" s="27">
        <v>19</v>
      </c>
      <c r="F111" s="24">
        <v>0.441</v>
      </c>
      <c r="G111" s="26">
        <v>12</v>
      </c>
      <c r="H111" s="25">
        <v>82.6</v>
      </c>
      <c r="I111" s="25">
        <v>82.6</v>
      </c>
      <c r="J111" t="s">
        <v>30</v>
      </c>
      <c r="M111" s="33">
        <v>0</v>
      </c>
      <c r="N111" s="33">
        <v>1</v>
      </c>
      <c r="R111" s="29" t="str">
        <f>VLOOKUP(WNBA_TeamSeasons[[#This Row],[Team]],$Y$3:$Y$17,1,FALSE)</f>
        <v>Seattle Storm</v>
      </c>
    </row>
    <row r="112" spans="1:18" x14ac:dyDescent="0.25">
      <c r="A112" s="27">
        <v>2017</v>
      </c>
      <c r="B112" t="s">
        <v>733</v>
      </c>
      <c r="C112" t="s">
        <v>730</v>
      </c>
      <c r="D112" s="27">
        <v>8</v>
      </c>
      <c r="E112" s="27">
        <v>26</v>
      </c>
      <c r="F112" s="24">
        <v>0.23499999999999999</v>
      </c>
      <c r="G112" s="26">
        <v>19</v>
      </c>
      <c r="H112" s="25">
        <v>74.400000000000006</v>
      </c>
      <c r="I112" s="25">
        <v>81.400000000000006</v>
      </c>
      <c r="M112" s="33">
        <v>0</v>
      </c>
      <c r="N112" s="33">
        <v>0</v>
      </c>
      <c r="R112" s="29" t="s">
        <v>709</v>
      </c>
    </row>
    <row r="113" spans="1:18" x14ac:dyDescent="0.25">
      <c r="A113" s="27">
        <v>2016</v>
      </c>
      <c r="B113" t="s">
        <v>711</v>
      </c>
      <c r="C113" t="s">
        <v>729</v>
      </c>
      <c r="D113" s="27">
        <v>21</v>
      </c>
      <c r="E113" s="27">
        <v>13</v>
      </c>
      <c r="F113" s="24">
        <v>0.61799999999999999</v>
      </c>
      <c r="G113" s="26">
        <v>0</v>
      </c>
      <c r="H113" s="25">
        <v>81.599999999999994</v>
      </c>
      <c r="I113" s="25">
        <v>80.900000000000006</v>
      </c>
      <c r="J113" t="s">
        <v>30</v>
      </c>
      <c r="K113" s="29" t="s">
        <v>30</v>
      </c>
      <c r="M113" s="33">
        <v>0</v>
      </c>
      <c r="N113" s="33">
        <v>0</v>
      </c>
      <c r="R113" s="29" t="str">
        <f>VLOOKUP(WNBA_TeamSeasons[[#This Row],[Team]],$Y$3:$Y$17,1,FALSE)</f>
        <v>New York Liberty</v>
      </c>
    </row>
    <row r="114" spans="1:18" x14ac:dyDescent="0.25">
      <c r="A114" s="27">
        <v>2016</v>
      </c>
      <c r="B114" t="s">
        <v>714</v>
      </c>
      <c r="C114" t="s">
        <v>729</v>
      </c>
      <c r="D114" s="27">
        <v>18</v>
      </c>
      <c r="E114" s="27">
        <v>16</v>
      </c>
      <c r="F114" s="24">
        <v>0.52900000000000003</v>
      </c>
      <c r="G114" s="26">
        <v>3</v>
      </c>
      <c r="H114" s="25">
        <v>86.2</v>
      </c>
      <c r="I114" s="25">
        <v>85.6</v>
      </c>
      <c r="J114" t="s">
        <v>30</v>
      </c>
      <c r="M114" s="33">
        <v>1</v>
      </c>
      <c r="N114" s="33">
        <v>3</v>
      </c>
      <c r="O114" s="29" t="s">
        <v>30</v>
      </c>
      <c r="R114" s="29" t="str">
        <f>VLOOKUP(WNBA_TeamSeasons[[#This Row],[Team]],$Y$3:$Y$17,1,FALSE)</f>
        <v>Chicago Sky</v>
      </c>
    </row>
    <row r="115" spans="1:18" x14ac:dyDescent="0.25">
      <c r="A115" s="27">
        <v>2016</v>
      </c>
      <c r="B115" t="s">
        <v>719</v>
      </c>
      <c r="C115" t="s">
        <v>729</v>
      </c>
      <c r="D115" s="27">
        <v>17</v>
      </c>
      <c r="E115" s="27">
        <v>17</v>
      </c>
      <c r="F115" s="24">
        <v>0.5</v>
      </c>
      <c r="G115" s="26">
        <v>4</v>
      </c>
      <c r="H115" s="25">
        <v>81.8</v>
      </c>
      <c r="I115" s="25">
        <v>84</v>
      </c>
      <c r="J115" t="s">
        <v>30</v>
      </c>
      <c r="M115" s="33">
        <v>1</v>
      </c>
      <c r="N115" s="33">
        <v>0</v>
      </c>
      <c r="R115" s="29" t="str">
        <f>VLOOKUP(WNBA_TeamSeasons[[#This Row],[Team]],$Y$3:$Y$17,1,FALSE)</f>
        <v>Atlanta Dream</v>
      </c>
    </row>
    <row r="116" spans="1:18" x14ac:dyDescent="0.25">
      <c r="A116" s="27">
        <v>2016</v>
      </c>
      <c r="B116" t="s">
        <v>718</v>
      </c>
      <c r="C116" t="s">
        <v>729</v>
      </c>
      <c r="D116" s="27">
        <v>17</v>
      </c>
      <c r="E116" s="27">
        <v>17</v>
      </c>
      <c r="F116" s="24">
        <v>0.5</v>
      </c>
      <c r="G116" s="26">
        <v>4</v>
      </c>
      <c r="H116" s="25">
        <v>80.5</v>
      </c>
      <c r="I116" s="25">
        <v>80.900000000000006</v>
      </c>
      <c r="J116" t="s">
        <v>30</v>
      </c>
      <c r="M116" s="33">
        <v>0</v>
      </c>
      <c r="N116" s="33">
        <v>1</v>
      </c>
      <c r="R116" s="29" t="str">
        <f>VLOOKUP(WNBA_TeamSeasons[[#This Row],[Team]],$Y$3:$Y$17,1,FALSE)</f>
        <v>Indiana Fever</v>
      </c>
    </row>
    <row r="117" spans="1:18" x14ac:dyDescent="0.25">
      <c r="A117" s="27">
        <v>2016</v>
      </c>
      <c r="B117" t="s">
        <v>713</v>
      </c>
      <c r="C117" t="s">
        <v>729</v>
      </c>
      <c r="D117" s="27">
        <v>14</v>
      </c>
      <c r="E117" s="27">
        <v>20</v>
      </c>
      <c r="F117" s="24">
        <v>0.41199999999999998</v>
      </c>
      <c r="G117" s="26">
        <v>7</v>
      </c>
      <c r="H117" s="25">
        <v>83</v>
      </c>
      <c r="I117" s="25">
        <v>84.4</v>
      </c>
      <c r="M117" s="33">
        <v>0</v>
      </c>
      <c r="N117" s="33">
        <v>0</v>
      </c>
      <c r="R117" s="29" t="str">
        <f>VLOOKUP(WNBA_TeamSeasons[[#This Row],[Team]],$Y$3:$Y$17,1,FALSE)</f>
        <v>Connecticut Sun</v>
      </c>
    </row>
    <row r="118" spans="1:18" x14ac:dyDescent="0.25">
      <c r="A118" s="27">
        <v>2016</v>
      </c>
      <c r="B118" t="s">
        <v>716</v>
      </c>
      <c r="C118" t="s">
        <v>729</v>
      </c>
      <c r="D118" s="27">
        <v>13</v>
      </c>
      <c r="E118" s="27">
        <v>21</v>
      </c>
      <c r="F118" s="24">
        <v>0.38200000000000001</v>
      </c>
      <c r="G118" s="26">
        <v>8</v>
      </c>
      <c r="H118" s="25">
        <v>80.7</v>
      </c>
      <c r="I118" s="25">
        <v>82.2</v>
      </c>
      <c r="M118" s="33">
        <v>0</v>
      </c>
      <c r="N118" s="33">
        <v>0</v>
      </c>
      <c r="R118" s="29" t="str">
        <f>VLOOKUP(WNBA_TeamSeasons[[#This Row],[Team]],$Y$3:$Y$17,1,FALSE)</f>
        <v>Washington Mystics</v>
      </c>
    </row>
    <row r="119" spans="1:18" x14ac:dyDescent="0.25">
      <c r="A119" s="27">
        <v>2016</v>
      </c>
      <c r="B119" t="s">
        <v>712</v>
      </c>
      <c r="C119" t="s">
        <v>730</v>
      </c>
      <c r="D119" s="27">
        <v>28</v>
      </c>
      <c r="E119" s="27">
        <v>6</v>
      </c>
      <c r="F119" s="24">
        <v>0.82399999999999995</v>
      </c>
      <c r="G119" s="26">
        <v>0</v>
      </c>
      <c r="H119" s="25">
        <v>85.8</v>
      </c>
      <c r="I119" s="25">
        <v>77</v>
      </c>
      <c r="J119" t="s">
        <v>30</v>
      </c>
      <c r="K119" s="29" t="s">
        <v>30</v>
      </c>
      <c r="L119" s="29" t="s">
        <v>30</v>
      </c>
      <c r="M119" s="33">
        <v>5</v>
      </c>
      <c r="N119" s="33">
        <v>3</v>
      </c>
      <c r="O119" s="29" t="s">
        <v>30</v>
      </c>
      <c r="P119" s="29" t="s">
        <v>30</v>
      </c>
      <c r="R119" s="29" t="str">
        <f>VLOOKUP(WNBA_TeamSeasons[[#This Row],[Team]],$Y$3:$Y$17,1,FALSE)</f>
        <v>Minnesota Lynx</v>
      </c>
    </row>
    <row r="120" spans="1:18" x14ac:dyDescent="0.25">
      <c r="A120" s="27">
        <v>2016</v>
      </c>
      <c r="B120" t="s">
        <v>717</v>
      </c>
      <c r="C120" t="s">
        <v>730</v>
      </c>
      <c r="D120" s="27">
        <v>26</v>
      </c>
      <c r="E120" s="27">
        <v>8</v>
      </c>
      <c r="F120" s="24">
        <v>0.76500000000000001</v>
      </c>
      <c r="G120" s="26">
        <v>2</v>
      </c>
      <c r="H120" s="25">
        <v>83</v>
      </c>
      <c r="I120" s="25">
        <v>75.900000000000006</v>
      </c>
      <c r="J120" t="s">
        <v>30</v>
      </c>
      <c r="M120" s="33">
        <v>6</v>
      </c>
      <c r="N120" s="33">
        <v>3</v>
      </c>
      <c r="O120" s="29" t="s">
        <v>30</v>
      </c>
      <c r="P120" s="29" t="s">
        <v>30</v>
      </c>
      <c r="Q120" s="29" t="s">
        <v>30</v>
      </c>
      <c r="R120" s="29" t="str">
        <f>VLOOKUP(WNBA_TeamSeasons[[#This Row],[Team]],$Y$3:$Y$17,1,FALSE)</f>
        <v>Los Angeles Sparks</v>
      </c>
    </row>
    <row r="121" spans="1:18" x14ac:dyDescent="0.25">
      <c r="A121" s="27">
        <v>2016</v>
      </c>
      <c r="B121" t="s">
        <v>710</v>
      </c>
      <c r="C121" t="s">
        <v>730</v>
      </c>
      <c r="D121" s="27">
        <v>16</v>
      </c>
      <c r="E121" s="27">
        <v>18</v>
      </c>
      <c r="F121" s="24">
        <v>0.47099999999999997</v>
      </c>
      <c r="G121" s="26">
        <v>12</v>
      </c>
      <c r="H121" s="25">
        <v>84.6</v>
      </c>
      <c r="I121" s="25">
        <v>83.3</v>
      </c>
      <c r="J121" t="s">
        <v>30</v>
      </c>
      <c r="M121" s="33">
        <v>1</v>
      </c>
      <c r="N121" s="33">
        <v>3</v>
      </c>
      <c r="O121" s="29" t="s">
        <v>30</v>
      </c>
      <c r="R121" s="29" t="str">
        <f>VLOOKUP(WNBA_TeamSeasons[[#This Row],[Team]],$Y$3:$Y$17,1,FALSE)</f>
        <v>Phoenix Mercury</v>
      </c>
    </row>
    <row r="122" spans="1:18" x14ac:dyDescent="0.25">
      <c r="A122" s="27">
        <v>2016</v>
      </c>
      <c r="B122" t="s">
        <v>715</v>
      </c>
      <c r="C122" t="s">
        <v>730</v>
      </c>
      <c r="D122" s="27">
        <v>16</v>
      </c>
      <c r="E122" s="27">
        <v>18</v>
      </c>
      <c r="F122" s="24">
        <v>0.47099999999999997</v>
      </c>
      <c r="G122" s="26">
        <v>12</v>
      </c>
      <c r="H122" s="25">
        <v>80.8</v>
      </c>
      <c r="I122" s="25">
        <v>80.2</v>
      </c>
      <c r="J122" t="s">
        <v>30</v>
      </c>
      <c r="M122" s="33">
        <v>0</v>
      </c>
      <c r="N122" s="33">
        <v>1</v>
      </c>
      <c r="R122" s="29" t="str">
        <f>VLOOKUP(WNBA_TeamSeasons[[#This Row],[Team]],$Y$3:$Y$17,1,FALSE)</f>
        <v>Seattle Storm</v>
      </c>
    </row>
    <row r="123" spans="1:18" x14ac:dyDescent="0.25">
      <c r="A123" s="27">
        <v>2016</v>
      </c>
      <c r="B123" t="s">
        <v>732</v>
      </c>
      <c r="C123" t="s">
        <v>730</v>
      </c>
      <c r="D123" s="27">
        <v>11</v>
      </c>
      <c r="E123" s="27">
        <v>23</v>
      </c>
      <c r="F123" s="24">
        <v>0.32400000000000001</v>
      </c>
      <c r="G123" s="26">
        <v>17</v>
      </c>
      <c r="H123" s="25">
        <v>82.6</v>
      </c>
      <c r="I123" s="25">
        <v>88.2</v>
      </c>
      <c r="M123" s="33">
        <v>0</v>
      </c>
      <c r="N123" s="33">
        <v>0</v>
      </c>
      <c r="R123" s="29" t="str">
        <f>VLOOKUP(WNBA_TeamSeasons[[#This Row],[Team]],$Y$3:$Y$17,1,FALSE)</f>
        <v>Dallas Wings</v>
      </c>
    </row>
    <row r="124" spans="1:18" x14ac:dyDescent="0.25">
      <c r="A124" s="27">
        <v>2016</v>
      </c>
      <c r="B124" t="s">
        <v>733</v>
      </c>
      <c r="C124" t="s">
        <v>730</v>
      </c>
      <c r="D124" s="27">
        <v>7</v>
      </c>
      <c r="E124" s="27">
        <v>27</v>
      </c>
      <c r="F124" s="24">
        <v>0.20599999999999999</v>
      </c>
      <c r="G124" s="26">
        <v>21</v>
      </c>
      <c r="H124" s="25">
        <v>72</v>
      </c>
      <c r="I124" s="25">
        <v>80.2</v>
      </c>
      <c r="M124" s="33">
        <v>0</v>
      </c>
      <c r="N124" s="33">
        <v>0</v>
      </c>
      <c r="R124" s="29" t="s">
        <v>709</v>
      </c>
    </row>
    <row r="125" spans="1:18" x14ac:dyDescent="0.25">
      <c r="A125" s="27">
        <v>2015</v>
      </c>
      <c r="B125" t="s">
        <v>711</v>
      </c>
      <c r="C125" t="s">
        <v>729</v>
      </c>
      <c r="D125" s="27">
        <v>23</v>
      </c>
      <c r="E125" s="27">
        <v>11</v>
      </c>
      <c r="F125" s="24">
        <v>0.67600000000000005</v>
      </c>
      <c r="G125" s="26">
        <v>0</v>
      </c>
      <c r="H125" s="25">
        <v>74.400000000000006</v>
      </c>
      <c r="I125" s="25">
        <v>71.099999999999994</v>
      </c>
      <c r="J125" t="s">
        <v>30</v>
      </c>
      <c r="K125" s="29" t="s">
        <v>30</v>
      </c>
      <c r="L125" s="29" t="s">
        <v>30</v>
      </c>
      <c r="M125" s="33">
        <v>0</v>
      </c>
      <c r="N125" s="33">
        <v>0</v>
      </c>
      <c r="R125" s="29" t="str">
        <f>VLOOKUP(WNBA_TeamSeasons[[#This Row],[Team]],$Y$3:$Y$17,1,FALSE)</f>
        <v>New York Liberty</v>
      </c>
    </row>
    <row r="126" spans="1:18" x14ac:dyDescent="0.25">
      <c r="A126" s="27">
        <v>2015</v>
      </c>
      <c r="B126" t="s">
        <v>714</v>
      </c>
      <c r="C126" t="s">
        <v>729</v>
      </c>
      <c r="D126" s="27">
        <v>21</v>
      </c>
      <c r="E126" s="27">
        <v>13</v>
      </c>
      <c r="F126" s="24">
        <v>0.61799999999999999</v>
      </c>
      <c r="G126" s="26">
        <v>2</v>
      </c>
      <c r="H126" s="25">
        <v>82.9</v>
      </c>
      <c r="I126" s="25">
        <v>78.8</v>
      </c>
      <c r="J126" t="s">
        <v>30</v>
      </c>
      <c r="M126" s="33">
        <v>0</v>
      </c>
      <c r="N126" s="33">
        <v>0</v>
      </c>
      <c r="R126" s="29" t="str">
        <f>VLOOKUP(WNBA_TeamSeasons[[#This Row],[Team]],$Y$3:$Y$17,1,FALSE)</f>
        <v>Chicago Sky</v>
      </c>
    </row>
    <row r="127" spans="1:18" x14ac:dyDescent="0.25">
      <c r="A127" s="27">
        <v>2015</v>
      </c>
      <c r="B127" t="s">
        <v>718</v>
      </c>
      <c r="C127" t="s">
        <v>729</v>
      </c>
      <c r="D127" s="27">
        <v>20</v>
      </c>
      <c r="E127" s="27">
        <v>14</v>
      </c>
      <c r="F127" s="24">
        <v>0.58799999999999997</v>
      </c>
      <c r="G127" s="26">
        <v>3</v>
      </c>
      <c r="H127" s="25">
        <v>77.7</v>
      </c>
      <c r="I127" s="25">
        <v>75.8</v>
      </c>
      <c r="J127" t="s">
        <v>30</v>
      </c>
      <c r="M127" s="33">
        <v>2</v>
      </c>
      <c r="N127" s="33">
        <v>3</v>
      </c>
      <c r="O127" s="29" t="s">
        <v>30</v>
      </c>
      <c r="P127" s="29" t="s">
        <v>30</v>
      </c>
      <c r="R127" s="29" t="str">
        <f>VLOOKUP(WNBA_TeamSeasons[[#This Row],[Team]],$Y$3:$Y$17,1,FALSE)</f>
        <v>Indiana Fever</v>
      </c>
    </row>
    <row r="128" spans="1:18" x14ac:dyDescent="0.25">
      <c r="A128" s="27">
        <v>2015</v>
      </c>
      <c r="B128" t="s">
        <v>716</v>
      </c>
      <c r="C128" t="s">
        <v>729</v>
      </c>
      <c r="D128" s="27">
        <v>18</v>
      </c>
      <c r="E128" s="27">
        <v>16</v>
      </c>
      <c r="F128" s="24">
        <v>0.52900000000000003</v>
      </c>
      <c r="G128" s="26">
        <v>5</v>
      </c>
      <c r="H128" s="25">
        <v>73.599999999999994</v>
      </c>
      <c r="I128" s="25">
        <v>71.2</v>
      </c>
      <c r="J128" t="s">
        <v>30</v>
      </c>
      <c r="M128" s="33">
        <v>0</v>
      </c>
      <c r="N128" s="33">
        <v>0</v>
      </c>
      <c r="R128" s="29" t="str">
        <f>VLOOKUP(WNBA_TeamSeasons[[#This Row],[Team]],$Y$3:$Y$17,1,FALSE)</f>
        <v>Washington Mystics</v>
      </c>
    </row>
    <row r="129" spans="1:18" x14ac:dyDescent="0.25">
      <c r="A129" s="27">
        <v>2015</v>
      </c>
      <c r="B129" t="s">
        <v>719</v>
      </c>
      <c r="C129" t="s">
        <v>729</v>
      </c>
      <c r="D129" s="27">
        <v>15</v>
      </c>
      <c r="E129" s="27">
        <v>19</v>
      </c>
      <c r="F129" s="24">
        <v>0.441</v>
      </c>
      <c r="G129" s="26">
        <v>8</v>
      </c>
      <c r="H129" s="25">
        <v>77.8</v>
      </c>
      <c r="I129" s="25">
        <v>79.8</v>
      </c>
      <c r="M129" s="33">
        <v>0</v>
      </c>
      <c r="N129" s="33">
        <v>0</v>
      </c>
      <c r="R129" s="29" t="str">
        <f>VLOOKUP(WNBA_TeamSeasons[[#This Row],[Team]],$Y$3:$Y$17,1,FALSE)</f>
        <v>Atlanta Dream</v>
      </c>
    </row>
    <row r="130" spans="1:18" x14ac:dyDescent="0.25">
      <c r="A130" s="27">
        <v>2015</v>
      </c>
      <c r="B130" t="s">
        <v>713</v>
      </c>
      <c r="C130" t="s">
        <v>729</v>
      </c>
      <c r="D130" s="27">
        <v>15</v>
      </c>
      <c r="E130" s="27">
        <v>19</v>
      </c>
      <c r="F130" s="24">
        <v>0.441</v>
      </c>
      <c r="G130" s="26">
        <v>8</v>
      </c>
      <c r="H130" s="25">
        <v>75</v>
      </c>
      <c r="I130" s="25">
        <v>76.599999999999994</v>
      </c>
      <c r="M130" s="33">
        <v>0</v>
      </c>
      <c r="N130" s="33">
        <v>0</v>
      </c>
      <c r="R130" s="29" t="str">
        <f>VLOOKUP(WNBA_TeamSeasons[[#This Row],[Team]],$Y$3:$Y$17,1,FALSE)</f>
        <v>Connecticut Sun</v>
      </c>
    </row>
    <row r="131" spans="1:18" x14ac:dyDescent="0.25">
      <c r="A131" s="27">
        <v>2015</v>
      </c>
      <c r="B131" t="s">
        <v>712</v>
      </c>
      <c r="C131" t="s">
        <v>730</v>
      </c>
      <c r="D131" s="27">
        <v>22</v>
      </c>
      <c r="E131" s="27">
        <v>12</v>
      </c>
      <c r="F131" s="24">
        <v>0.64700000000000002</v>
      </c>
      <c r="G131" s="26">
        <v>0</v>
      </c>
      <c r="H131" s="25">
        <v>75.5</v>
      </c>
      <c r="I131" s="25">
        <v>71.7</v>
      </c>
      <c r="J131" t="s">
        <v>30</v>
      </c>
      <c r="K131" s="29" t="s">
        <v>30</v>
      </c>
      <c r="M131" s="33">
        <v>3</v>
      </c>
      <c r="N131" s="33">
        <v>2</v>
      </c>
      <c r="O131" s="29" t="s">
        <v>30</v>
      </c>
      <c r="P131" s="29" t="s">
        <v>30</v>
      </c>
      <c r="Q131" s="29" t="s">
        <v>30</v>
      </c>
      <c r="R131" s="29" t="str">
        <f>VLOOKUP(WNBA_TeamSeasons[[#This Row],[Team]],$Y$3:$Y$17,1,FALSE)</f>
        <v>Minnesota Lynx</v>
      </c>
    </row>
    <row r="132" spans="1:18" x14ac:dyDescent="0.25">
      <c r="A132" s="27">
        <v>2015</v>
      </c>
      <c r="B132" t="s">
        <v>710</v>
      </c>
      <c r="C132" t="s">
        <v>730</v>
      </c>
      <c r="D132" s="27">
        <v>20</v>
      </c>
      <c r="E132" s="27">
        <v>14</v>
      </c>
      <c r="F132" s="24">
        <v>0.58799999999999997</v>
      </c>
      <c r="G132" s="26">
        <v>2</v>
      </c>
      <c r="H132" s="25">
        <v>75.099999999999994</v>
      </c>
      <c r="I132" s="25">
        <v>72.3</v>
      </c>
      <c r="J132" t="s">
        <v>30</v>
      </c>
      <c r="M132" s="33">
        <v>0</v>
      </c>
      <c r="N132" s="33">
        <v>0</v>
      </c>
      <c r="R132" s="29" t="str">
        <f>VLOOKUP(WNBA_TeamSeasons[[#This Row],[Team]],$Y$3:$Y$17,1,FALSE)</f>
        <v>Phoenix Mercury</v>
      </c>
    </row>
    <row r="133" spans="1:18" x14ac:dyDescent="0.25">
      <c r="A133" s="27">
        <v>2015</v>
      </c>
      <c r="B133" t="s">
        <v>734</v>
      </c>
      <c r="C133" t="s">
        <v>730</v>
      </c>
      <c r="D133" s="27">
        <v>18</v>
      </c>
      <c r="E133" s="27">
        <v>16</v>
      </c>
      <c r="F133" s="24">
        <v>0.52900000000000003</v>
      </c>
      <c r="G133" s="26">
        <v>4</v>
      </c>
      <c r="H133" s="25">
        <v>77.7</v>
      </c>
      <c r="I133" s="25">
        <v>77.099999999999994</v>
      </c>
      <c r="J133" t="s">
        <v>30</v>
      </c>
      <c r="M133" s="33">
        <v>0</v>
      </c>
      <c r="N133" s="33">
        <v>0</v>
      </c>
      <c r="R133" s="29" t="s">
        <v>732</v>
      </c>
    </row>
    <row r="134" spans="1:18" x14ac:dyDescent="0.25">
      <c r="A134" s="27">
        <v>2015</v>
      </c>
      <c r="B134" t="s">
        <v>717</v>
      </c>
      <c r="C134" t="s">
        <v>730</v>
      </c>
      <c r="D134" s="27">
        <v>14</v>
      </c>
      <c r="E134" s="27">
        <v>20</v>
      </c>
      <c r="F134" s="24">
        <v>0.41199999999999998</v>
      </c>
      <c r="G134" s="26">
        <v>8</v>
      </c>
      <c r="H134" s="25">
        <v>73.599999999999994</v>
      </c>
      <c r="I134" s="25">
        <v>74.599999999999994</v>
      </c>
      <c r="J134" t="s">
        <v>30</v>
      </c>
      <c r="M134" s="33">
        <v>0</v>
      </c>
      <c r="N134" s="33">
        <v>0</v>
      </c>
      <c r="R134" s="29" t="str">
        <f>VLOOKUP(WNBA_TeamSeasons[[#This Row],[Team]],$Y$3:$Y$17,1,FALSE)</f>
        <v>Los Angeles Sparks</v>
      </c>
    </row>
    <row r="135" spans="1:18" x14ac:dyDescent="0.25">
      <c r="A135" s="27">
        <v>2015</v>
      </c>
      <c r="B135" t="s">
        <v>715</v>
      </c>
      <c r="C135" t="s">
        <v>730</v>
      </c>
      <c r="D135" s="27">
        <v>10</v>
      </c>
      <c r="E135" s="27">
        <v>24</v>
      </c>
      <c r="F135" s="24">
        <v>0.29399999999999998</v>
      </c>
      <c r="G135" s="26">
        <v>12</v>
      </c>
      <c r="H135" s="25">
        <v>70.400000000000006</v>
      </c>
      <c r="I135" s="25">
        <v>76.099999999999994</v>
      </c>
      <c r="M135" s="33">
        <v>0</v>
      </c>
      <c r="N135" s="33">
        <v>0</v>
      </c>
      <c r="R135" s="29" t="str">
        <f>VLOOKUP(WNBA_TeamSeasons[[#This Row],[Team]],$Y$3:$Y$17,1,FALSE)</f>
        <v>Seattle Storm</v>
      </c>
    </row>
    <row r="136" spans="1:18" x14ac:dyDescent="0.25">
      <c r="A136" s="27">
        <v>2015</v>
      </c>
      <c r="B136" t="s">
        <v>733</v>
      </c>
      <c r="C136" t="s">
        <v>730</v>
      </c>
      <c r="D136" s="27">
        <v>8</v>
      </c>
      <c r="E136" s="27">
        <v>26</v>
      </c>
      <c r="F136" s="24">
        <v>0.23499999999999999</v>
      </c>
      <c r="G136" s="26">
        <v>14</v>
      </c>
      <c r="H136" s="25">
        <v>68.099999999999994</v>
      </c>
      <c r="I136" s="25">
        <v>76.7</v>
      </c>
      <c r="M136" s="33">
        <v>0</v>
      </c>
      <c r="N136" s="33">
        <v>0</v>
      </c>
      <c r="R136" s="29" t="s">
        <v>709</v>
      </c>
    </row>
    <row r="137" spans="1:18" x14ac:dyDescent="0.25">
      <c r="A137" s="27">
        <v>2014</v>
      </c>
      <c r="B137" t="s">
        <v>719</v>
      </c>
      <c r="C137" t="s">
        <v>729</v>
      </c>
      <c r="D137" s="27">
        <v>19</v>
      </c>
      <c r="E137" s="27">
        <v>15</v>
      </c>
      <c r="F137" s="24">
        <v>0.55900000000000005</v>
      </c>
      <c r="G137" s="26">
        <v>0</v>
      </c>
      <c r="H137" s="25">
        <v>80.599999999999994</v>
      </c>
      <c r="I137" s="25">
        <v>78.5</v>
      </c>
      <c r="J137" t="s">
        <v>30</v>
      </c>
      <c r="K137" s="29" t="s">
        <v>30</v>
      </c>
      <c r="M137" s="33">
        <v>0</v>
      </c>
      <c r="N137" s="33">
        <v>0</v>
      </c>
      <c r="R137" s="29" t="str">
        <f>VLOOKUP(WNBA_TeamSeasons[[#This Row],[Team]],$Y$3:$Y$17,1,FALSE)</f>
        <v>Atlanta Dream</v>
      </c>
    </row>
    <row r="138" spans="1:18" x14ac:dyDescent="0.25">
      <c r="A138" s="27">
        <v>2014</v>
      </c>
      <c r="B138" t="s">
        <v>718</v>
      </c>
      <c r="C138" t="s">
        <v>729</v>
      </c>
      <c r="D138" s="27">
        <v>16</v>
      </c>
      <c r="E138" s="27">
        <v>18</v>
      </c>
      <c r="F138" s="24">
        <v>0.47099999999999997</v>
      </c>
      <c r="G138" s="26">
        <v>3</v>
      </c>
      <c r="H138" s="25">
        <v>74.099999999999994</v>
      </c>
      <c r="I138" s="25">
        <v>75.099999999999994</v>
      </c>
      <c r="J138" t="s">
        <v>30</v>
      </c>
      <c r="M138" s="33">
        <v>0</v>
      </c>
      <c r="N138" s="33">
        <v>0</v>
      </c>
      <c r="R138" s="29" t="str">
        <f>VLOOKUP(WNBA_TeamSeasons[[#This Row],[Team]],$Y$3:$Y$17,1,FALSE)</f>
        <v>Indiana Fever</v>
      </c>
    </row>
    <row r="139" spans="1:18" x14ac:dyDescent="0.25">
      <c r="A139" s="27">
        <v>2014</v>
      </c>
      <c r="B139" t="s">
        <v>716</v>
      </c>
      <c r="C139" t="s">
        <v>729</v>
      </c>
      <c r="D139" s="27">
        <v>16</v>
      </c>
      <c r="E139" s="27">
        <v>18</v>
      </c>
      <c r="F139" s="24">
        <v>0.47099999999999997</v>
      </c>
      <c r="G139" s="26">
        <v>3</v>
      </c>
      <c r="H139" s="25">
        <v>74.3</v>
      </c>
      <c r="I139" s="25">
        <v>73.8</v>
      </c>
      <c r="J139" t="s">
        <v>30</v>
      </c>
      <c r="M139" s="33">
        <v>0</v>
      </c>
      <c r="N139" s="33">
        <v>0</v>
      </c>
      <c r="R139" s="29" t="str">
        <f>VLOOKUP(WNBA_TeamSeasons[[#This Row],[Team]],$Y$3:$Y$17,1,FALSE)</f>
        <v>Washington Mystics</v>
      </c>
    </row>
    <row r="140" spans="1:18" x14ac:dyDescent="0.25">
      <c r="A140" s="27">
        <v>2014</v>
      </c>
      <c r="B140" t="s">
        <v>714</v>
      </c>
      <c r="C140" t="s">
        <v>729</v>
      </c>
      <c r="D140" s="27">
        <v>15</v>
      </c>
      <c r="E140" s="27">
        <v>19</v>
      </c>
      <c r="F140" s="24">
        <v>0.441</v>
      </c>
      <c r="G140" s="26">
        <v>4</v>
      </c>
      <c r="H140" s="25">
        <v>76.2</v>
      </c>
      <c r="I140" s="25">
        <v>78.2</v>
      </c>
      <c r="J140" t="s">
        <v>30</v>
      </c>
      <c r="M140" s="33">
        <v>0</v>
      </c>
      <c r="N140" s="33">
        <v>3</v>
      </c>
      <c r="O140" s="29" t="s">
        <v>30</v>
      </c>
      <c r="P140" s="29" t="s">
        <v>30</v>
      </c>
      <c r="R140" s="29" t="str">
        <f>VLOOKUP(WNBA_TeamSeasons[[#This Row],[Team]],$Y$3:$Y$17,1,FALSE)</f>
        <v>Chicago Sky</v>
      </c>
    </row>
    <row r="141" spans="1:18" x14ac:dyDescent="0.25">
      <c r="A141" s="27">
        <v>2014</v>
      </c>
      <c r="B141" t="s">
        <v>711</v>
      </c>
      <c r="C141" t="s">
        <v>729</v>
      </c>
      <c r="D141" s="27">
        <v>15</v>
      </c>
      <c r="E141" s="27">
        <v>19</v>
      </c>
      <c r="F141" s="24">
        <v>0.441</v>
      </c>
      <c r="G141" s="26">
        <v>4</v>
      </c>
      <c r="H141" s="25">
        <v>72.099999999999994</v>
      </c>
      <c r="I141" s="25">
        <v>75.2</v>
      </c>
      <c r="M141" s="33">
        <v>0</v>
      </c>
      <c r="N141" s="33">
        <v>0</v>
      </c>
      <c r="R141" s="29" t="str">
        <f>VLOOKUP(WNBA_TeamSeasons[[#This Row],[Team]],$Y$3:$Y$17,1,FALSE)</f>
        <v>New York Liberty</v>
      </c>
    </row>
    <row r="142" spans="1:18" x14ac:dyDescent="0.25">
      <c r="A142" s="27">
        <v>2014</v>
      </c>
      <c r="B142" t="s">
        <v>713</v>
      </c>
      <c r="C142" t="s">
        <v>729</v>
      </c>
      <c r="D142" s="27">
        <v>13</v>
      </c>
      <c r="E142" s="27">
        <v>21</v>
      </c>
      <c r="F142" s="24">
        <v>0.38200000000000001</v>
      </c>
      <c r="G142" s="26">
        <v>6</v>
      </c>
      <c r="H142" s="25">
        <v>75.7</v>
      </c>
      <c r="I142" s="25">
        <v>77.5</v>
      </c>
      <c r="M142" s="33">
        <v>0</v>
      </c>
      <c r="N142" s="33">
        <v>0</v>
      </c>
      <c r="R142" s="29" t="str">
        <f>VLOOKUP(WNBA_TeamSeasons[[#This Row],[Team]],$Y$3:$Y$17,1,FALSE)</f>
        <v>Connecticut Sun</v>
      </c>
    </row>
    <row r="143" spans="1:18" x14ac:dyDescent="0.25">
      <c r="A143" s="27">
        <v>2014</v>
      </c>
      <c r="B143" t="s">
        <v>710</v>
      </c>
      <c r="C143" t="s">
        <v>730</v>
      </c>
      <c r="D143" s="27">
        <v>29</v>
      </c>
      <c r="E143" s="27">
        <v>5</v>
      </c>
      <c r="F143" s="24">
        <v>0.85299999999999998</v>
      </c>
      <c r="G143" s="26">
        <v>0</v>
      </c>
      <c r="H143" s="25">
        <v>83.5</v>
      </c>
      <c r="I143" s="25">
        <v>74.099999999999994</v>
      </c>
      <c r="J143" t="s">
        <v>30</v>
      </c>
      <c r="K143" s="29" t="s">
        <v>30</v>
      </c>
      <c r="L143" s="29" t="s">
        <v>30</v>
      </c>
      <c r="M143" s="33">
        <v>3</v>
      </c>
      <c r="N143" s="33">
        <v>0</v>
      </c>
      <c r="O143" s="29" t="s">
        <v>30</v>
      </c>
      <c r="P143" s="29" t="s">
        <v>30</v>
      </c>
      <c r="Q143" s="29" t="s">
        <v>30</v>
      </c>
      <c r="R143" s="29" t="str">
        <f>VLOOKUP(WNBA_TeamSeasons[[#This Row],[Team]],$Y$3:$Y$17,1,FALSE)</f>
        <v>Phoenix Mercury</v>
      </c>
    </row>
    <row r="144" spans="1:18" x14ac:dyDescent="0.25">
      <c r="A144" s="27">
        <v>2014</v>
      </c>
      <c r="B144" t="s">
        <v>712</v>
      </c>
      <c r="C144" t="s">
        <v>730</v>
      </c>
      <c r="D144" s="27">
        <v>25</v>
      </c>
      <c r="E144" s="27">
        <v>9</v>
      </c>
      <c r="F144" s="24">
        <v>0.73499999999999999</v>
      </c>
      <c r="G144" s="26">
        <v>4</v>
      </c>
      <c r="H144" s="25">
        <v>81.599999999999994</v>
      </c>
      <c r="I144" s="25">
        <v>77.2</v>
      </c>
      <c r="J144" t="s">
        <v>30</v>
      </c>
      <c r="M144" s="33">
        <v>0</v>
      </c>
      <c r="N144" s="33">
        <v>0</v>
      </c>
      <c r="R144" s="29" t="str">
        <f>VLOOKUP(WNBA_TeamSeasons[[#This Row],[Team]],$Y$3:$Y$17,1,FALSE)</f>
        <v>Minnesota Lynx</v>
      </c>
    </row>
    <row r="145" spans="1:18" x14ac:dyDescent="0.25">
      <c r="A145" s="27">
        <v>2014</v>
      </c>
      <c r="B145" t="s">
        <v>717</v>
      </c>
      <c r="C145" t="s">
        <v>730</v>
      </c>
      <c r="D145" s="27">
        <v>16</v>
      </c>
      <c r="E145" s="27">
        <v>18</v>
      </c>
      <c r="F145" s="24">
        <v>0.47099999999999997</v>
      </c>
      <c r="G145" s="26">
        <v>13</v>
      </c>
      <c r="H145" s="25">
        <v>77.400000000000006</v>
      </c>
      <c r="I145" s="25">
        <v>77.599999999999994</v>
      </c>
      <c r="J145" t="s">
        <v>30</v>
      </c>
      <c r="M145" s="33">
        <v>0</v>
      </c>
      <c r="N145" s="33">
        <v>0</v>
      </c>
      <c r="R145" s="29" t="str">
        <f>VLOOKUP(WNBA_TeamSeasons[[#This Row],[Team]],$Y$3:$Y$17,1,FALSE)</f>
        <v>Los Angeles Sparks</v>
      </c>
    </row>
    <row r="146" spans="1:18" x14ac:dyDescent="0.25">
      <c r="A146" s="27">
        <v>2014</v>
      </c>
      <c r="B146" t="s">
        <v>733</v>
      </c>
      <c r="C146" t="s">
        <v>730</v>
      </c>
      <c r="D146" s="27">
        <v>16</v>
      </c>
      <c r="E146" s="27">
        <v>18</v>
      </c>
      <c r="F146" s="24">
        <v>0.47099999999999997</v>
      </c>
      <c r="G146" s="26">
        <v>13</v>
      </c>
      <c r="H146" s="25">
        <v>77.8</v>
      </c>
      <c r="I146" s="25">
        <v>79.599999999999994</v>
      </c>
      <c r="J146" t="s">
        <v>30</v>
      </c>
      <c r="M146" s="33">
        <v>0</v>
      </c>
      <c r="N146" s="33">
        <v>0</v>
      </c>
      <c r="R146" s="29" t="s">
        <v>709</v>
      </c>
    </row>
    <row r="147" spans="1:18" x14ac:dyDescent="0.25">
      <c r="A147" s="27">
        <v>2014</v>
      </c>
      <c r="B147" t="s">
        <v>715</v>
      </c>
      <c r="C147" t="s">
        <v>730</v>
      </c>
      <c r="D147" s="27">
        <v>12</v>
      </c>
      <c r="E147" s="27">
        <v>22</v>
      </c>
      <c r="F147" s="24">
        <v>0.35299999999999998</v>
      </c>
      <c r="G147" s="26">
        <v>17</v>
      </c>
      <c r="H147" s="25">
        <v>70.900000000000006</v>
      </c>
      <c r="I147" s="25">
        <v>75.3</v>
      </c>
      <c r="M147" s="33">
        <v>0</v>
      </c>
      <c r="N147" s="33">
        <v>0</v>
      </c>
      <c r="R147" s="29" t="str">
        <f>VLOOKUP(WNBA_TeamSeasons[[#This Row],[Team]],$Y$3:$Y$17,1,FALSE)</f>
        <v>Seattle Storm</v>
      </c>
    </row>
    <row r="148" spans="1:18" x14ac:dyDescent="0.25">
      <c r="A148" s="27">
        <v>2014</v>
      </c>
      <c r="B148" t="s">
        <v>734</v>
      </c>
      <c r="C148" t="s">
        <v>730</v>
      </c>
      <c r="D148" s="27">
        <v>12</v>
      </c>
      <c r="E148" s="27">
        <v>22</v>
      </c>
      <c r="F148" s="24">
        <v>0.35299999999999998</v>
      </c>
      <c r="G148" s="26">
        <v>17</v>
      </c>
      <c r="H148" s="25">
        <v>81.2</v>
      </c>
      <c r="I148" s="25">
        <v>83.3</v>
      </c>
      <c r="M148" s="33">
        <v>0</v>
      </c>
      <c r="N148" s="33">
        <v>0</v>
      </c>
      <c r="R148" s="29" t="s">
        <v>732</v>
      </c>
    </row>
    <row r="149" spans="1:18" x14ac:dyDescent="0.25">
      <c r="A149" s="27">
        <v>2013</v>
      </c>
      <c r="B149" t="s">
        <v>714</v>
      </c>
      <c r="C149" t="s">
        <v>729</v>
      </c>
      <c r="D149" s="27">
        <v>24</v>
      </c>
      <c r="E149" s="27">
        <v>10</v>
      </c>
      <c r="F149" s="24">
        <v>0.70599999999999996</v>
      </c>
      <c r="G149" s="26">
        <v>0</v>
      </c>
      <c r="H149" s="25">
        <v>79.400000000000006</v>
      </c>
      <c r="I149" s="25">
        <v>73.599999999999994</v>
      </c>
      <c r="J149" t="s">
        <v>30</v>
      </c>
      <c r="K149" s="29" t="s">
        <v>30</v>
      </c>
      <c r="M149" s="33">
        <v>0</v>
      </c>
      <c r="N149" s="33">
        <v>0</v>
      </c>
      <c r="R149" s="29" t="str">
        <f>VLOOKUP(WNBA_TeamSeasons[[#This Row],[Team]],$Y$3:$Y$17,1,FALSE)</f>
        <v>Chicago Sky</v>
      </c>
    </row>
    <row r="150" spans="1:18" x14ac:dyDescent="0.25">
      <c r="A150" s="27">
        <v>2013</v>
      </c>
      <c r="B150" t="s">
        <v>719</v>
      </c>
      <c r="C150" t="s">
        <v>729</v>
      </c>
      <c r="D150" s="27">
        <v>17</v>
      </c>
      <c r="E150" s="27">
        <v>17</v>
      </c>
      <c r="F150" s="24">
        <v>0.5</v>
      </c>
      <c r="G150" s="26">
        <v>7</v>
      </c>
      <c r="H150" s="25">
        <v>76.900000000000006</v>
      </c>
      <c r="I150" s="25">
        <v>75.400000000000006</v>
      </c>
      <c r="J150" t="s">
        <v>30</v>
      </c>
      <c r="M150" s="33">
        <v>0</v>
      </c>
      <c r="N150" s="33">
        <v>3</v>
      </c>
      <c r="O150" s="29" t="s">
        <v>30</v>
      </c>
      <c r="P150" s="29" t="s">
        <v>30</v>
      </c>
      <c r="R150" s="29" t="str">
        <f>VLOOKUP(WNBA_TeamSeasons[[#This Row],[Team]],$Y$3:$Y$17,1,FALSE)</f>
        <v>Atlanta Dream</v>
      </c>
    </row>
    <row r="151" spans="1:18" x14ac:dyDescent="0.25">
      <c r="A151" s="27">
        <v>2013</v>
      </c>
      <c r="B151" t="s">
        <v>716</v>
      </c>
      <c r="C151" t="s">
        <v>729</v>
      </c>
      <c r="D151" s="27">
        <v>17</v>
      </c>
      <c r="E151" s="27">
        <v>17</v>
      </c>
      <c r="F151" s="24">
        <v>0.5</v>
      </c>
      <c r="G151" s="26">
        <v>7</v>
      </c>
      <c r="H151" s="25">
        <v>75.5</v>
      </c>
      <c r="I151" s="25">
        <v>75.400000000000006</v>
      </c>
      <c r="J151" t="s">
        <v>30</v>
      </c>
      <c r="M151" s="33">
        <v>0</v>
      </c>
      <c r="N151" s="33">
        <v>0</v>
      </c>
      <c r="R151" s="29" t="str">
        <f>VLOOKUP(WNBA_TeamSeasons[[#This Row],[Team]],$Y$3:$Y$17,1,FALSE)</f>
        <v>Washington Mystics</v>
      </c>
    </row>
    <row r="152" spans="1:18" x14ac:dyDescent="0.25">
      <c r="A152" s="27">
        <v>2013</v>
      </c>
      <c r="B152" t="s">
        <v>718</v>
      </c>
      <c r="C152" t="s">
        <v>729</v>
      </c>
      <c r="D152" s="27">
        <v>16</v>
      </c>
      <c r="E152" s="27">
        <v>18</v>
      </c>
      <c r="F152" s="24">
        <v>0.47099999999999997</v>
      </c>
      <c r="G152" s="26">
        <v>8</v>
      </c>
      <c r="H152" s="25">
        <v>70.8</v>
      </c>
      <c r="I152" s="25">
        <v>70.5</v>
      </c>
      <c r="J152" t="s">
        <v>30</v>
      </c>
      <c r="M152" s="33">
        <v>0</v>
      </c>
      <c r="N152" s="33">
        <v>0</v>
      </c>
      <c r="R152" s="29" t="str">
        <f>VLOOKUP(WNBA_TeamSeasons[[#This Row],[Team]],$Y$3:$Y$17,1,FALSE)</f>
        <v>Indiana Fever</v>
      </c>
    </row>
    <row r="153" spans="1:18" x14ac:dyDescent="0.25">
      <c r="A153" s="27">
        <v>2013</v>
      </c>
      <c r="B153" t="s">
        <v>711</v>
      </c>
      <c r="C153" t="s">
        <v>729</v>
      </c>
      <c r="D153" s="27">
        <v>11</v>
      </c>
      <c r="E153" s="27">
        <v>23</v>
      </c>
      <c r="F153" s="24">
        <v>0.32400000000000001</v>
      </c>
      <c r="G153" s="26">
        <v>13</v>
      </c>
      <c r="H153" s="25">
        <v>69.599999999999994</v>
      </c>
      <c r="I153" s="25">
        <v>77</v>
      </c>
      <c r="M153" s="33">
        <v>0</v>
      </c>
      <c r="N153" s="33">
        <v>0</v>
      </c>
      <c r="R153" s="29" t="str">
        <f>VLOOKUP(WNBA_TeamSeasons[[#This Row],[Team]],$Y$3:$Y$17,1,FALSE)</f>
        <v>New York Liberty</v>
      </c>
    </row>
    <row r="154" spans="1:18" x14ac:dyDescent="0.25">
      <c r="A154" s="27">
        <v>2013</v>
      </c>
      <c r="B154" t="s">
        <v>713</v>
      </c>
      <c r="C154" t="s">
        <v>729</v>
      </c>
      <c r="D154" s="27">
        <v>10</v>
      </c>
      <c r="E154" s="27">
        <v>24</v>
      </c>
      <c r="F154" s="24">
        <v>0.29399999999999998</v>
      </c>
      <c r="G154" s="26">
        <v>14</v>
      </c>
      <c r="H154" s="25">
        <v>71</v>
      </c>
      <c r="I154" s="25">
        <v>76.900000000000006</v>
      </c>
      <c r="M154" s="33">
        <v>0</v>
      </c>
      <c r="N154" s="33">
        <v>0</v>
      </c>
      <c r="R154" s="29" t="str">
        <f>VLOOKUP(WNBA_TeamSeasons[[#This Row],[Team]],$Y$3:$Y$17,1,FALSE)</f>
        <v>Connecticut Sun</v>
      </c>
    </row>
    <row r="155" spans="1:18" x14ac:dyDescent="0.25">
      <c r="A155" s="27">
        <v>2013</v>
      </c>
      <c r="B155" t="s">
        <v>712</v>
      </c>
      <c r="C155" t="s">
        <v>730</v>
      </c>
      <c r="D155" s="27">
        <v>26</v>
      </c>
      <c r="E155" s="27">
        <v>8</v>
      </c>
      <c r="F155" s="24">
        <v>0.76500000000000001</v>
      </c>
      <c r="G155" s="26">
        <v>0</v>
      </c>
      <c r="H155" s="25">
        <v>82.9</v>
      </c>
      <c r="I155" s="25">
        <v>73.5</v>
      </c>
      <c r="J155" t="s">
        <v>30</v>
      </c>
      <c r="K155" s="29" t="s">
        <v>30</v>
      </c>
      <c r="L155" s="29" t="s">
        <v>30</v>
      </c>
      <c r="M155" s="33">
        <v>3</v>
      </c>
      <c r="N155" s="33">
        <v>0</v>
      </c>
      <c r="O155" s="29" t="s">
        <v>30</v>
      </c>
      <c r="P155" s="29" t="s">
        <v>30</v>
      </c>
      <c r="Q155" s="29" t="s">
        <v>30</v>
      </c>
      <c r="R155" s="29" t="str">
        <f>VLOOKUP(WNBA_TeamSeasons[[#This Row],[Team]],$Y$3:$Y$17,1,FALSE)</f>
        <v>Minnesota Lynx</v>
      </c>
    </row>
    <row r="156" spans="1:18" x14ac:dyDescent="0.25">
      <c r="A156" s="27">
        <v>2013</v>
      </c>
      <c r="B156" t="s">
        <v>717</v>
      </c>
      <c r="C156" t="s">
        <v>730</v>
      </c>
      <c r="D156" s="27">
        <v>24</v>
      </c>
      <c r="E156" s="27">
        <v>10</v>
      </c>
      <c r="F156" s="24">
        <v>0.70599999999999996</v>
      </c>
      <c r="G156" s="26">
        <v>2</v>
      </c>
      <c r="H156" s="25">
        <v>81.900000000000006</v>
      </c>
      <c r="I156" s="25">
        <v>75</v>
      </c>
      <c r="J156" t="s">
        <v>30</v>
      </c>
      <c r="M156" s="33">
        <v>0</v>
      </c>
      <c r="N156" s="33">
        <v>0</v>
      </c>
      <c r="R156" s="29" t="str">
        <f>VLOOKUP(WNBA_TeamSeasons[[#This Row],[Team]],$Y$3:$Y$17,1,FALSE)</f>
        <v>Los Angeles Sparks</v>
      </c>
    </row>
    <row r="157" spans="1:18" x14ac:dyDescent="0.25">
      <c r="A157" s="27">
        <v>2013</v>
      </c>
      <c r="B157" t="s">
        <v>710</v>
      </c>
      <c r="C157" t="s">
        <v>730</v>
      </c>
      <c r="D157" s="27">
        <v>19</v>
      </c>
      <c r="E157" s="27">
        <v>15</v>
      </c>
      <c r="F157" s="24">
        <v>0.55900000000000005</v>
      </c>
      <c r="G157" s="26">
        <v>7</v>
      </c>
      <c r="H157" s="25">
        <v>79.7</v>
      </c>
      <c r="I157" s="25">
        <v>80.3</v>
      </c>
      <c r="J157" t="s">
        <v>30</v>
      </c>
      <c r="M157" s="33">
        <v>0</v>
      </c>
      <c r="N157" s="33">
        <v>0</v>
      </c>
      <c r="R157" s="29" t="str">
        <f>VLOOKUP(WNBA_TeamSeasons[[#This Row],[Team]],$Y$3:$Y$17,1,FALSE)</f>
        <v>Phoenix Mercury</v>
      </c>
    </row>
    <row r="158" spans="1:18" x14ac:dyDescent="0.25">
      <c r="A158" s="27">
        <v>2013</v>
      </c>
      <c r="B158" t="s">
        <v>715</v>
      </c>
      <c r="C158" t="s">
        <v>730</v>
      </c>
      <c r="D158" s="27">
        <v>17</v>
      </c>
      <c r="E158" s="27">
        <v>17</v>
      </c>
      <c r="F158" s="24">
        <v>0.5</v>
      </c>
      <c r="G158" s="26">
        <v>9</v>
      </c>
      <c r="H158" s="25">
        <v>70.900000000000006</v>
      </c>
      <c r="I158" s="25">
        <v>73.3</v>
      </c>
      <c r="J158" t="s">
        <v>30</v>
      </c>
      <c r="M158" s="33">
        <v>0</v>
      </c>
      <c r="N158" s="33">
        <v>0</v>
      </c>
      <c r="R158" s="29" t="str">
        <f>VLOOKUP(WNBA_TeamSeasons[[#This Row],[Team]],$Y$3:$Y$17,1,FALSE)</f>
        <v>Seattle Storm</v>
      </c>
    </row>
    <row r="159" spans="1:18" x14ac:dyDescent="0.25">
      <c r="A159" s="27">
        <v>2013</v>
      </c>
      <c r="B159" t="s">
        <v>721</v>
      </c>
      <c r="C159" t="s">
        <v>730</v>
      </c>
      <c r="D159" s="27">
        <v>12</v>
      </c>
      <c r="E159" s="27">
        <v>22</v>
      </c>
      <c r="F159" s="24">
        <v>0.35299999999999998</v>
      </c>
      <c r="G159" s="26">
        <v>14</v>
      </c>
      <c r="H159" s="25">
        <v>72.099999999999994</v>
      </c>
      <c r="I159" s="25">
        <v>77.900000000000006</v>
      </c>
      <c r="M159" s="33">
        <v>0</v>
      </c>
      <c r="N159" s="33">
        <v>0</v>
      </c>
      <c r="R159" s="29" t="s">
        <v>709</v>
      </c>
    </row>
    <row r="160" spans="1:18" x14ac:dyDescent="0.25">
      <c r="A160" s="27">
        <v>2013</v>
      </c>
      <c r="B160" t="s">
        <v>734</v>
      </c>
      <c r="C160" t="s">
        <v>730</v>
      </c>
      <c r="D160" s="27">
        <v>11</v>
      </c>
      <c r="E160" s="27">
        <v>23</v>
      </c>
      <c r="F160" s="24">
        <v>0.32400000000000001</v>
      </c>
      <c r="G160" s="26">
        <v>15</v>
      </c>
      <c r="H160" s="25">
        <v>77</v>
      </c>
      <c r="I160" s="25">
        <v>79.2</v>
      </c>
      <c r="M160" s="33">
        <v>0</v>
      </c>
      <c r="N160" s="33">
        <v>0</v>
      </c>
      <c r="R160" s="29" t="s">
        <v>732</v>
      </c>
    </row>
    <row r="161" spans="1:18" x14ac:dyDescent="0.25">
      <c r="A161" s="27">
        <v>2012</v>
      </c>
      <c r="B161" t="s">
        <v>713</v>
      </c>
      <c r="C161" t="s">
        <v>729</v>
      </c>
      <c r="D161" s="27">
        <v>25</v>
      </c>
      <c r="E161" s="27">
        <v>9</v>
      </c>
      <c r="F161" s="24">
        <v>0.73499999999999999</v>
      </c>
      <c r="G161" s="26">
        <v>0</v>
      </c>
      <c r="H161" s="25">
        <v>81.599999999999994</v>
      </c>
      <c r="I161" s="25">
        <v>77.400000000000006</v>
      </c>
      <c r="J161" t="s">
        <v>30</v>
      </c>
      <c r="K161" s="29" t="s">
        <v>30</v>
      </c>
      <c r="M161" s="33">
        <v>0</v>
      </c>
      <c r="N161" s="33">
        <v>0</v>
      </c>
      <c r="R161" s="29" t="str">
        <f>VLOOKUP(WNBA_TeamSeasons[[#This Row],[Team]],$Y$3:$Y$17,1,FALSE)</f>
        <v>Connecticut Sun</v>
      </c>
    </row>
    <row r="162" spans="1:18" x14ac:dyDescent="0.25">
      <c r="A162" s="27">
        <v>2012</v>
      </c>
      <c r="B162" t="s">
        <v>718</v>
      </c>
      <c r="C162" t="s">
        <v>729</v>
      </c>
      <c r="D162" s="27">
        <v>22</v>
      </c>
      <c r="E162" s="27">
        <v>12</v>
      </c>
      <c r="F162" s="24">
        <v>0.64700000000000002</v>
      </c>
      <c r="G162" s="26">
        <v>3</v>
      </c>
      <c r="H162" s="25">
        <v>78.3</v>
      </c>
      <c r="I162" s="25">
        <v>72.3</v>
      </c>
      <c r="J162" t="s">
        <v>30</v>
      </c>
      <c r="M162" s="33">
        <v>3</v>
      </c>
      <c r="N162" s="33">
        <v>1</v>
      </c>
      <c r="O162" s="29" t="s">
        <v>30</v>
      </c>
      <c r="P162" s="29" t="s">
        <v>30</v>
      </c>
      <c r="Q162" s="29" t="s">
        <v>30</v>
      </c>
      <c r="R162" s="29" t="str">
        <f>VLOOKUP(WNBA_TeamSeasons[[#This Row],[Team]],$Y$3:$Y$17,1,FALSE)</f>
        <v>Indiana Fever</v>
      </c>
    </row>
    <row r="163" spans="1:18" x14ac:dyDescent="0.25">
      <c r="A163" s="27">
        <v>2012</v>
      </c>
      <c r="B163" t="s">
        <v>719</v>
      </c>
      <c r="C163" t="s">
        <v>729</v>
      </c>
      <c r="D163" s="27">
        <v>19</v>
      </c>
      <c r="E163" s="27">
        <v>15</v>
      </c>
      <c r="F163" s="24">
        <v>0.55900000000000005</v>
      </c>
      <c r="G163" s="26">
        <v>6</v>
      </c>
      <c r="H163" s="25">
        <v>78.599999999999994</v>
      </c>
      <c r="I163" s="25">
        <v>75.8</v>
      </c>
      <c r="J163" t="s">
        <v>30</v>
      </c>
      <c r="M163" s="33">
        <v>0</v>
      </c>
      <c r="N163" s="33">
        <v>0</v>
      </c>
      <c r="R163" s="29" t="str">
        <f>VLOOKUP(WNBA_TeamSeasons[[#This Row],[Team]],$Y$3:$Y$17,1,FALSE)</f>
        <v>Atlanta Dream</v>
      </c>
    </row>
    <row r="164" spans="1:18" x14ac:dyDescent="0.25">
      <c r="A164" s="27">
        <v>2012</v>
      </c>
      <c r="B164" t="s">
        <v>711</v>
      </c>
      <c r="C164" t="s">
        <v>729</v>
      </c>
      <c r="D164" s="27">
        <v>15</v>
      </c>
      <c r="E164" s="27">
        <v>19</v>
      </c>
      <c r="F164" s="24">
        <v>0.441</v>
      </c>
      <c r="G164" s="26">
        <v>10</v>
      </c>
      <c r="H164" s="25">
        <v>73.099999999999994</v>
      </c>
      <c r="I164" s="25">
        <v>77.2</v>
      </c>
      <c r="J164" t="s">
        <v>30</v>
      </c>
      <c r="M164" s="33">
        <v>0</v>
      </c>
      <c r="N164" s="33">
        <v>0</v>
      </c>
      <c r="R164" s="29" t="str">
        <f>VLOOKUP(WNBA_TeamSeasons[[#This Row],[Team]],$Y$3:$Y$17,1,FALSE)</f>
        <v>New York Liberty</v>
      </c>
    </row>
    <row r="165" spans="1:18" x14ac:dyDescent="0.25">
      <c r="A165" s="27">
        <v>2012</v>
      </c>
      <c r="B165" t="s">
        <v>714</v>
      </c>
      <c r="C165" t="s">
        <v>729</v>
      </c>
      <c r="D165" s="27">
        <v>14</v>
      </c>
      <c r="E165" s="27">
        <v>20</v>
      </c>
      <c r="F165" s="24">
        <v>0.41199999999999998</v>
      </c>
      <c r="G165" s="26">
        <v>11</v>
      </c>
      <c r="H165" s="25">
        <v>75.2</v>
      </c>
      <c r="I165" s="25">
        <v>75.5</v>
      </c>
      <c r="M165" s="33">
        <v>0</v>
      </c>
      <c r="N165" s="33">
        <v>0</v>
      </c>
      <c r="R165" s="29" t="str">
        <f>VLOOKUP(WNBA_TeamSeasons[[#This Row],[Team]],$Y$3:$Y$17,1,FALSE)</f>
        <v>Chicago Sky</v>
      </c>
    </row>
    <row r="166" spans="1:18" x14ac:dyDescent="0.25">
      <c r="A166" s="27">
        <v>2012</v>
      </c>
      <c r="B166" t="s">
        <v>716</v>
      </c>
      <c r="C166" t="s">
        <v>729</v>
      </c>
      <c r="D166" s="27">
        <v>5</v>
      </c>
      <c r="E166" s="27">
        <v>29</v>
      </c>
      <c r="F166" s="24">
        <v>0.14699999999999999</v>
      </c>
      <c r="G166" s="26">
        <v>20</v>
      </c>
      <c r="H166" s="25">
        <v>68.599999999999994</v>
      </c>
      <c r="I166" s="25">
        <v>78.3</v>
      </c>
      <c r="M166" s="33">
        <v>0</v>
      </c>
      <c r="N166" s="33">
        <v>0</v>
      </c>
      <c r="R166" s="29" t="str">
        <f>VLOOKUP(WNBA_TeamSeasons[[#This Row],[Team]],$Y$3:$Y$17,1,FALSE)</f>
        <v>Washington Mystics</v>
      </c>
    </row>
    <row r="167" spans="1:18" x14ac:dyDescent="0.25">
      <c r="A167" s="27">
        <v>2012</v>
      </c>
      <c r="B167" t="s">
        <v>712</v>
      </c>
      <c r="C167" t="s">
        <v>730</v>
      </c>
      <c r="D167" s="27">
        <v>27</v>
      </c>
      <c r="E167" s="27">
        <v>7</v>
      </c>
      <c r="F167" s="24">
        <v>0.79400000000000004</v>
      </c>
      <c r="G167" s="26">
        <v>0</v>
      </c>
      <c r="H167" s="25">
        <v>86</v>
      </c>
      <c r="I167" s="25">
        <v>76.2</v>
      </c>
      <c r="J167" t="s">
        <v>30</v>
      </c>
      <c r="K167" s="29" t="s">
        <v>30</v>
      </c>
      <c r="L167" s="29" t="s">
        <v>30</v>
      </c>
      <c r="M167" s="33">
        <v>1</v>
      </c>
      <c r="N167" s="33">
        <v>3</v>
      </c>
      <c r="O167" s="29" t="s">
        <v>30</v>
      </c>
      <c r="P167" s="29" t="s">
        <v>30</v>
      </c>
      <c r="R167" s="29" t="str">
        <f>VLOOKUP(WNBA_TeamSeasons[[#This Row],[Team]],$Y$3:$Y$17,1,FALSE)</f>
        <v>Minnesota Lynx</v>
      </c>
    </row>
    <row r="168" spans="1:18" x14ac:dyDescent="0.25">
      <c r="A168" s="27">
        <v>2012</v>
      </c>
      <c r="B168" t="s">
        <v>717</v>
      </c>
      <c r="C168" t="s">
        <v>730</v>
      </c>
      <c r="D168" s="27">
        <v>24</v>
      </c>
      <c r="E168" s="27">
        <v>10</v>
      </c>
      <c r="F168" s="24">
        <v>0.70599999999999996</v>
      </c>
      <c r="G168" s="26">
        <v>3</v>
      </c>
      <c r="H168" s="25">
        <v>84</v>
      </c>
      <c r="I168" s="25">
        <v>78.3</v>
      </c>
      <c r="J168" t="s">
        <v>30</v>
      </c>
      <c r="M168" s="33">
        <v>0</v>
      </c>
      <c r="N168" s="33">
        <v>0</v>
      </c>
      <c r="R168" s="29" t="str">
        <f>VLOOKUP(WNBA_TeamSeasons[[#This Row],[Team]],$Y$3:$Y$17,1,FALSE)</f>
        <v>Los Angeles Sparks</v>
      </c>
    </row>
    <row r="169" spans="1:18" x14ac:dyDescent="0.25">
      <c r="A169" s="27">
        <v>2012</v>
      </c>
      <c r="B169" t="s">
        <v>721</v>
      </c>
      <c r="C169" t="s">
        <v>730</v>
      </c>
      <c r="D169" s="27">
        <v>21</v>
      </c>
      <c r="E169" s="27">
        <v>13</v>
      </c>
      <c r="F169" s="24">
        <v>0.61799999999999999</v>
      </c>
      <c r="G169" s="26">
        <v>6</v>
      </c>
      <c r="H169" s="25">
        <v>82.1</v>
      </c>
      <c r="I169" s="25">
        <v>76.900000000000006</v>
      </c>
      <c r="J169" t="s">
        <v>30</v>
      </c>
      <c r="M169" s="33">
        <v>0</v>
      </c>
      <c r="N169" s="33">
        <v>0</v>
      </c>
      <c r="R169" s="29" t="s">
        <v>709</v>
      </c>
    </row>
    <row r="170" spans="1:18" x14ac:dyDescent="0.25">
      <c r="A170" s="27">
        <v>2012</v>
      </c>
      <c r="B170" t="s">
        <v>715</v>
      </c>
      <c r="C170" t="s">
        <v>730</v>
      </c>
      <c r="D170" s="27">
        <v>16</v>
      </c>
      <c r="E170" s="27">
        <v>18</v>
      </c>
      <c r="F170" s="24">
        <v>0.47099999999999997</v>
      </c>
      <c r="G170" s="26">
        <v>11</v>
      </c>
      <c r="H170" s="25">
        <v>71.2</v>
      </c>
      <c r="I170" s="25">
        <v>71.599999999999994</v>
      </c>
      <c r="J170" t="s">
        <v>30</v>
      </c>
      <c r="M170" s="33">
        <v>0</v>
      </c>
      <c r="N170" s="33">
        <v>0</v>
      </c>
      <c r="R170" s="29" t="str">
        <f>VLOOKUP(WNBA_TeamSeasons[[#This Row],[Team]],$Y$3:$Y$17,1,FALSE)</f>
        <v>Seattle Storm</v>
      </c>
    </row>
    <row r="171" spans="1:18" x14ac:dyDescent="0.25">
      <c r="A171" s="27">
        <v>2012</v>
      </c>
      <c r="B171" t="s">
        <v>734</v>
      </c>
      <c r="C171" t="s">
        <v>730</v>
      </c>
      <c r="D171" s="27">
        <v>9</v>
      </c>
      <c r="E171" s="27">
        <v>25</v>
      </c>
      <c r="F171" s="24">
        <v>0.26500000000000001</v>
      </c>
      <c r="G171" s="26">
        <v>18</v>
      </c>
      <c r="H171" s="25">
        <v>77.2</v>
      </c>
      <c r="I171" s="25">
        <v>84.2</v>
      </c>
      <c r="M171" s="33">
        <v>0</v>
      </c>
      <c r="N171" s="33">
        <v>0</v>
      </c>
      <c r="R171" s="29" t="s">
        <v>732</v>
      </c>
    </row>
    <row r="172" spans="1:18" x14ac:dyDescent="0.25">
      <c r="A172" s="27">
        <v>2012</v>
      </c>
      <c r="B172" t="s">
        <v>710</v>
      </c>
      <c r="C172" t="s">
        <v>730</v>
      </c>
      <c r="D172" s="27">
        <v>7</v>
      </c>
      <c r="E172" s="27">
        <v>27</v>
      </c>
      <c r="F172" s="24">
        <v>0.20599999999999999</v>
      </c>
      <c r="G172" s="26">
        <v>20</v>
      </c>
      <c r="H172" s="25">
        <v>74.5</v>
      </c>
      <c r="I172" s="25">
        <v>86.7</v>
      </c>
      <c r="M172" s="33">
        <v>0</v>
      </c>
      <c r="N172" s="33">
        <v>0</v>
      </c>
      <c r="R172" s="29" t="str">
        <f>VLOOKUP(WNBA_TeamSeasons[[#This Row],[Team]],$Y$3:$Y$17,1,FALSE)</f>
        <v>Phoenix Mercury</v>
      </c>
    </row>
    <row r="173" spans="1:18" x14ac:dyDescent="0.25">
      <c r="A173" s="27">
        <v>2011</v>
      </c>
      <c r="B173" t="s">
        <v>713</v>
      </c>
      <c r="C173" t="s">
        <v>729</v>
      </c>
      <c r="D173" s="27">
        <v>21</v>
      </c>
      <c r="E173" s="27">
        <v>13</v>
      </c>
      <c r="F173" s="24">
        <v>0.61799999999999999</v>
      </c>
      <c r="G173" s="26">
        <v>0</v>
      </c>
      <c r="H173" s="25">
        <v>80.099999999999994</v>
      </c>
      <c r="I173" s="25">
        <v>76.8</v>
      </c>
      <c r="J173" t="s">
        <v>30</v>
      </c>
      <c r="K173" s="29" t="s">
        <v>30</v>
      </c>
      <c r="M173" s="33">
        <v>0</v>
      </c>
      <c r="N173" s="33">
        <v>0</v>
      </c>
      <c r="R173" s="29" t="str">
        <f>VLOOKUP(WNBA_TeamSeasons[[#This Row],[Team]],$Y$3:$Y$17,1,FALSE)</f>
        <v>Connecticut Sun</v>
      </c>
    </row>
    <row r="174" spans="1:18" x14ac:dyDescent="0.25">
      <c r="A174" s="27">
        <v>2011</v>
      </c>
      <c r="B174" t="s">
        <v>718</v>
      </c>
      <c r="C174" t="s">
        <v>729</v>
      </c>
      <c r="D174" s="27">
        <v>21</v>
      </c>
      <c r="E174" s="27">
        <v>13</v>
      </c>
      <c r="F174" s="24">
        <v>0.61799999999999999</v>
      </c>
      <c r="G174" s="26">
        <v>0</v>
      </c>
      <c r="H174" s="25">
        <v>77.7</v>
      </c>
      <c r="I174" s="25">
        <v>73.8</v>
      </c>
      <c r="J174" t="s">
        <v>30</v>
      </c>
      <c r="K174" s="29" t="s">
        <v>30</v>
      </c>
      <c r="M174" s="33">
        <v>0</v>
      </c>
      <c r="N174" s="33">
        <v>0</v>
      </c>
      <c r="R174" s="29" t="str">
        <f>VLOOKUP(WNBA_TeamSeasons[[#This Row],[Team]],$Y$3:$Y$17,1,FALSE)</f>
        <v>Indiana Fever</v>
      </c>
    </row>
    <row r="175" spans="1:18" x14ac:dyDescent="0.25">
      <c r="A175" s="27">
        <v>2011</v>
      </c>
      <c r="B175" t="s">
        <v>719</v>
      </c>
      <c r="C175" t="s">
        <v>729</v>
      </c>
      <c r="D175" s="27">
        <v>20</v>
      </c>
      <c r="E175" s="27">
        <v>14</v>
      </c>
      <c r="F175" s="24">
        <v>0.58799999999999997</v>
      </c>
      <c r="G175" s="26">
        <v>1</v>
      </c>
      <c r="H175" s="25">
        <v>82.5</v>
      </c>
      <c r="I175" s="25">
        <v>80.8</v>
      </c>
      <c r="J175" t="s">
        <v>30</v>
      </c>
      <c r="M175" s="33">
        <v>0</v>
      </c>
      <c r="N175" s="33">
        <v>3</v>
      </c>
      <c r="O175" s="29" t="s">
        <v>30</v>
      </c>
      <c r="P175" s="29" t="s">
        <v>30</v>
      </c>
      <c r="R175" s="29" t="str">
        <f>VLOOKUP(WNBA_TeamSeasons[[#This Row],[Team]],$Y$3:$Y$17,1,FALSE)</f>
        <v>Atlanta Dream</v>
      </c>
    </row>
    <row r="176" spans="1:18" x14ac:dyDescent="0.25">
      <c r="A176" s="27">
        <v>2011</v>
      </c>
      <c r="B176" t="s">
        <v>711</v>
      </c>
      <c r="C176" t="s">
        <v>729</v>
      </c>
      <c r="D176" s="27">
        <v>19</v>
      </c>
      <c r="E176" s="27">
        <v>15</v>
      </c>
      <c r="F176" s="24">
        <v>0.55900000000000005</v>
      </c>
      <c r="G176" s="26">
        <v>2</v>
      </c>
      <c r="H176" s="25">
        <v>76</v>
      </c>
      <c r="I176" s="25">
        <v>74.8</v>
      </c>
      <c r="J176" t="s">
        <v>30</v>
      </c>
      <c r="M176" s="33">
        <v>0</v>
      </c>
      <c r="N176" s="33">
        <v>0</v>
      </c>
      <c r="R176" s="29" t="str">
        <f>VLOOKUP(WNBA_TeamSeasons[[#This Row],[Team]],$Y$3:$Y$17,1,FALSE)</f>
        <v>New York Liberty</v>
      </c>
    </row>
    <row r="177" spans="1:18" x14ac:dyDescent="0.25">
      <c r="A177" s="27">
        <v>2011</v>
      </c>
      <c r="B177" t="s">
        <v>714</v>
      </c>
      <c r="C177" t="s">
        <v>729</v>
      </c>
      <c r="D177" s="27">
        <v>14</v>
      </c>
      <c r="E177" s="27">
        <v>20</v>
      </c>
      <c r="F177" s="24">
        <v>0.41199999999999998</v>
      </c>
      <c r="G177" s="26">
        <v>7</v>
      </c>
      <c r="H177" s="25">
        <v>74.2</v>
      </c>
      <c r="I177" s="25">
        <v>75.2</v>
      </c>
      <c r="M177" s="33">
        <v>0</v>
      </c>
      <c r="N177" s="33">
        <v>0</v>
      </c>
      <c r="R177" s="29" t="str">
        <f>VLOOKUP(WNBA_TeamSeasons[[#This Row],[Team]],$Y$3:$Y$17,1,FALSE)</f>
        <v>Chicago Sky</v>
      </c>
    </row>
    <row r="178" spans="1:18" x14ac:dyDescent="0.25">
      <c r="A178" s="27">
        <v>2011</v>
      </c>
      <c r="B178" t="s">
        <v>716</v>
      </c>
      <c r="C178" t="s">
        <v>729</v>
      </c>
      <c r="D178" s="27">
        <v>6</v>
      </c>
      <c r="E178" s="27">
        <v>28</v>
      </c>
      <c r="F178" s="24">
        <v>0.17599999999999999</v>
      </c>
      <c r="G178" s="26">
        <v>15</v>
      </c>
      <c r="H178" s="25">
        <v>70.8</v>
      </c>
      <c r="I178" s="25">
        <v>78.8</v>
      </c>
      <c r="M178" s="33">
        <v>0</v>
      </c>
      <c r="N178" s="33">
        <v>0</v>
      </c>
      <c r="R178" s="29" t="str">
        <f>VLOOKUP(WNBA_TeamSeasons[[#This Row],[Team]],$Y$3:$Y$17,1,FALSE)</f>
        <v>Washington Mystics</v>
      </c>
    </row>
    <row r="179" spans="1:18" x14ac:dyDescent="0.25">
      <c r="A179" s="27">
        <v>2011</v>
      </c>
      <c r="B179" t="s">
        <v>712</v>
      </c>
      <c r="C179" t="s">
        <v>730</v>
      </c>
      <c r="D179" s="27">
        <v>27</v>
      </c>
      <c r="E179" s="27">
        <v>7</v>
      </c>
      <c r="F179" s="24">
        <v>0.79400000000000004</v>
      </c>
      <c r="G179" s="26">
        <v>0</v>
      </c>
      <c r="H179" s="25">
        <v>81.5</v>
      </c>
      <c r="I179" s="25">
        <v>73.599999999999994</v>
      </c>
      <c r="J179" t="s">
        <v>30</v>
      </c>
      <c r="K179" s="29" t="s">
        <v>30</v>
      </c>
      <c r="L179" s="29" t="s">
        <v>30</v>
      </c>
      <c r="M179" s="33">
        <v>3</v>
      </c>
      <c r="N179" s="33">
        <v>0</v>
      </c>
      <c r="O179" s="29" t="s">
        <v>30</v>
      </c>
      <c r="P179" s="29" t="s">
        <v>30</v>
      </c>
      <c r="Q179" s="29" t="s">
        <v>30</v>
      </c>
      <c r="R179" s="29" t="str">
        <f>VLOOKUP(WNBA_TeamSeasons[[#This Row],[Team]],$Y$3:$Y$17,1,FALSE)</f>
        <v>Minnesota Lynx</v>
      </c>
    </row>
    <row r="180" spans="1:18" x14ac:dyDescent="0.25">
      <c r="A180" s="27">
        <v>2011</v>
      </c>
      <c r="B180" t="s">
        <v>715</v>
      </c>
      <c r="C180" t="s">
        <v>730</v>
      </c>
      <c r="D180" s="27">
        <v>21</v>
      </c>
      <c r="E180" s="27">
        <v>13</v>
      </c>
      <c r="F180" s="24">
        <v>0.61799999999999999</v>
      </c>
      <c r="G180" s="26">
        <v>6</v>
      </c>
      <c r="H180" s="25">
        <v>71.599999999999994</v>
      </c>
      <c r="I180" s="25">
        <v>69.900000000000006</v>
      </c>
      <c r="J180" t="s">
        <v>30</v>
      </c>
      <c r="M180" s="33">
        <v>0</v>
      </c>
      <c r="N180" s="33">
        <v>0</v>
      </c>
      <c r="R180" s="29" t="str">
        <f>VLOOKUP(WNBA_TeamSeasons[[#This Row],[Team]],$Y$3:$Y$17,1,FALSE)</f>
        <v>Seattle Storm</v>
      </c>
    </row>
    <row r="181" spans="1:18" x14ac:dyDescent="0.25">
      <c r="A181" s="27">
        <v>2011</v>
      </c>
      <c r="B181" t="s">
        <v>710</v>
      </c>
      <c r="C181" t="s">
        <v>730</v>
      </c>
      <c r="D181" s="27">
        <v>19</v>
      </c>
      <c r="E181" s="27">
        <v>15</v>
      </c>
      <c r="F181" s="24">
        <v>0.55900000000000005</v>
      </c>
      <c r="G181" s="26">
        <v>8</v>
      </c>
      <c r="H181" s="25">
        <v>89</v>
      </c>
      <c r="I181" s="25">
        <v>86</v>
      </c>
      <c r="J181" t="s">
        <v>30</v>
      </c>
      <c r="M181" s="33">
        <v>0</v>
      </c>
      <c r="N181" s="33">
        <v>0</v>
      </c>
      <c r="R181" s="29" t="str">
        <f>VLOOKUP(WNBA_TeamSeasons[[#This Row],[Team]],$Y$3:$Y$17,1,FALSE)</f>
        <v>Phoenix Mercury</v>
      </c>
    </row>
    <row r="182" spans="1:18" x14ac:dyDescent="0.25">
      <c r="A182" s="27">
        <v>2011</v>
      </c>
      <c r="B182" t="s">
        <v>721</v>
      </c>
      <c r="C182" t="s">
        <v>730</v>
      </c>
      <c r="D182" s="27">
        <v>18</v>
      </c>
      <c r="E182" s="27">
        <v>16</v>
      </c>
      <c r="F182" s="24">
        <v>0.52900000000000003</v>
      </c>
      <c r="G182" s="26">
        <v>9</v>
      </c>
      <c r="H182" s="25">
        <v>77.599999999999994</v>
      </c>
      <c r="I182" s="25">
        <v>75.5</v>
      </c>
      <c r="J182" t="s">
        <v>30</v>
      </c>
      <c r="M182" s="33">
        <v>0</v>
      </c>
      <c r="N182" s="33">
        <v>0</v>
      </c>
      <c r="R182" s="29" t="s">
        <v>709</v>
      </c>
    </row>
    <row r="183" spans="1:18" x14ac:dyDescent="0.25">
      <c r="A183" s="27">
        <v>2011</v>
      </c>
      <c r="B183" t="s">
        <v>717</v>
      </c>
      <c r="C183" t="s">
        <v>730</v>
      </c>
      <c r="D183" s="27">
        <v>15</v>
      </c>
      <c r="E183" s="27">
        <v>19</v>
      </c>
      <c r="F183" s="24">
        <v>0.441</v>
      </c>
      <c r="G183" s="26">
        <v>12</v>
      </c>
      <c r="H183" s="25">
        <v>77.099999999999994</v>
      </c>
      <c r="I183" s="25">
        <v>80.3</v>
      </c>
      <c r="M183" s="33">
        <v>0</v>
      </c>
      <c r="N183" s="33">
        <v>0</v>
      </c>
      <c r="R183" s="29" t="str">
        <f>VLOOKUP(WNBA_TeamSeasons[[#This Row],[Team]],$Y$3:$Y$17,1,FALSE)</f>
        <v>Los Angeles Sparks</v>
      </c>
    </row>
    <row r="184" spans="1:18" x14ac:dyDescent="0.25">
      <c r="A184" s="27">
        <v>2011</v>
      </c>
      <c r="B184" t="s">
        <v>734</v>
      </c>
      <c r="C184" t="s">
        <v>730</v>
      </c>
      <c r="D184" s="27">
        <v>3</v>
      </c>
      <c r="E184" s="27">
        <v>31</v>
      </c>
      <c r="F184" s="24">
        <v>8.7999999999999995E-2</v>
      </c>
      <c r="G184" s="26">
        <v>24</v>
      </c>
      <c r="H184" s="25">
        <v>69.2</v>
      </c>
      <c r="I184" s="25">
        <v>82.1</v>
      </c>
      <c r="M184" s="33">
        <v>0</v>
      </c>
      <c r="N184" s="33">
        <v>0</v>
      </c>
      <c r="R184" s="29" t="s">
        <v>732</v>
      </c>
    </row>
    <row r="185" spans="1:18" x14ac:dyDescent="0.25">
      <c r="A185" s="27">
        <v>2010</v>
      </c>
      <c r="B185" t="s">
        <v>711</v>
      </c>
      <c r="C185" t="s">
        <v>729</v>
      </c>
      <c r="D185" s="27">
        <v>22</v>
      </c>
      <c r="E185" s="27">
        <v>12</v>
      </c>
      <c r="F185" s="24">
        <v>0.64700000000000002</v>
      </c>
      <c r="G185" s="26">
        <v>0</v>
      </c>
      <c r="H185" s="25">
        <v>79.2</v>
      </c>
      <c r="I185" s="25">
        <v>76</v>
      </c>
      <c r="J185" t="s">
        <v>30</v>
      </c>
      <c r="K185" s="29" t="s">
        <v>30</v>
      </c>
      <c r="M185" s="33">
        <v>0</v>
      </c>
      <c r="N185" s="33">
        <v>0</v>
      </c>
      <c r="R185" s="29" t="str">
        <f>VLOOKUP(WNBA_TeamSeasons[[#This Row],[Team]],$Y$3:$Y$17,1,FALSE)</f>
        <v>New York Liberty</v>
      </c>
    </row>
    <row r="186" spans="1:18" x14ac:dyDescent="0.25">
      <c r="A186" s="27">
        <v>2010</v>
      </c>
      <c r="B186" t="s">
        <v>716</v>
      </c>
      <c r="C186" t="s">
        <v>729</v>
      </c>
      <c r="D186" s="27">
        <v>22</v>
      </c>
      <c r="E186" s="27">
        <v>12</v>
      </c>
      <c r="F186" s="24">
        <v>0.64700000000000002</v>
      </c>
      <c r="G186" s="26">
        <v>0</v>
      </c>
      <c r="H186" s="25">
        <v>76.900000000000006</v>
      </c>
      <c r="I186" s="25">
        <v>73.3</v>
      </c>
      <c r="J186" t="s">
        <v>30</v>
      </c>
      <c r="K186" s="29" t="s">
        <v>30</v>
      </c>
      <c r="M186" s="33">
        <v>0</v>
      </c>
      <c r="N186" s="33">
        <v>0</v>
      </c>
      <c r="R186" s="29" t="str">
        <f>VLOOKUP(WNBA_TeamSeasons[[#This Row],[Team]],$Y$3:$Y$17,1,FALSE)</f>
        <v>Washington Mystics</v>
      </c>
    </row>
    <row r="187" spans="1:18" x14ac:dyDescent="0.25">
      <c r="A187" s="27">
        <v>2010</v>
      </c>
      <c r="B187" t="s">
        <v>718</v>
      </c>
      <c r="C187" t="s">
        <v>729</v>
      </c>
      <c r="D187" s="27">
        <v>21</v>
      </c>
      <c r="E187" s="27">
        <v>13</v>
      </c>
      <c r="F187" s="24">
        <v>0.61799999999999999</v>
      </c>
      <c r="G187" s="26">
        <v>1</v>
      </c>
      <c r="H187" s="25">
        <v>78.3</v>
      </c>
      <c r="I187" s="25">
        <v>74.099999999999994</v>
      </c>
      <c r="J187" t="s">
        <v>30</v>
      </c>
      <c r="M187" s="33">
        <v>0</v>
      </c>
      <c r="N187" s="33">
        <v>0</v>
      </c>
      <c r="R187" s="29" t="str">
        <f>VLOOKUP(WNBA_TeamSeasons[[#This Row],[Team]],$Y$3:$Y$17,1,FALSE)</f>
        <v>Indiana Fever</v>
      </c>
    </row>
    <row r="188" spans="1:18" x14ac:dyDescent="0.25">
      <c r="A188" s="27">
        <v>2010</v>
      </c>
      <c r="B188" t="s">
        <v>719</v>
      </c>
      <c r="C188" t="s">
        <v>729</v>
      </c>
      <c r="D188" s="27">
        <v>19</v>
      </c>
      <c r="E188" s="27">
        <v>15</v>
      </c>
      <c r="F188" s="24">
        <v>0.55900000000000005</v>
      </c>
      <c r="G188" s="26">
        <v>3</v>
      </c>
      <c r="H188" s="25">
        <v>85.4</v>
      </c>
      <c r="I188" s="25">
        <v>83.1</v>
      </c>
      <c r="J188" t="s">
        <v>30</v>
      </c>
      <c r="M188" s="33">
        <v>0</v>
      </c>
      <c r="N188" s="33">
        <v>3</v>
      </c>
      <c r="O188" s="29" t="s">
        <v>30</v>
      </c>
      <c r="P188" s="29" t="s">
        <v>30</v>
      </c>
      <c r="R188" s="29" t="str">
        <f>VLOOKUP(WNBA_TeamSeasons[[#This Row],[Team]],$Y$3:$Y$17,1,FALSE)</f>
        <v>Atlanta Dream</v>
      </c>
    </row>
    <row r="189" spans="1:18" x14ac:dyDescent="0.25">
      <c r="A189" s="27">
        <v>2010</v>
      </c>
      <c r="B189" t="s">
        <v>713</v>
      </c>
      <c r="C189" t="s">
        <v>729</v>
      </c>
      <c r="D189" s="27">
        <v>17</v>
      </c>
      <c r="E189" s="27">
        <v>17</v>
      </c>
      <c r="F189" s="24">
        <v>0.5</v>
      </c>
      <c r="G189" s="26">
        <v>5</v>
      </c>
      <c r="H189" s="25">
        <v>81</v>
      </c>
      <c r="I189" s="25">
        <v>79.900000000000006</v>
      </c>
      <c r="M189" s="33">
        <v>0</v>
      </c>
      <c r="N189" s="33">
        <v>0</v>
      </c>
      <c r="R189" s="29" t="str">
        <f>VLOOKUP(WNBA_TeamSeasons[[#This Row],[Team]],$Y$3:$Y$17,1,FALSE)</f>
        <v>Connecticut Sun</v>
      </c>
    </row>
    <row r="190" spans="1:18" x14ac:dyDescent="0.25">
      <c r="A190" s="27">
        <v>2010</v>
      </c>
      <c r="B190" t="s">
        <v>714</v>
      </c>
      <c r="C190" t="s">
        <v>729</v>
      </c>
      <c r="D190" s="27">
        <v>14</v>
      </c>
      <c r="E190" s="27">
        <v>20</v>
      </c>
      <c r="F190" s="24">
        <v>0.41199999999999998</v>
      </c>
      <c r="G190" s="26">
        <v>8</v>
      </c>
      <c r="H190" s="25">
        <v>76.099999999999994</v>
      </c>
      <c r="I190" s="25">
        <v>76.8</v>
      </c>
      <c r="M190" s="33">
        <v>0</v>
      </c>
      <c r="N190" s="33">
        <v>0</v>
      </c>
      <c r="R190" s="29" t="str">
        <f>VLOOKUP(WNBA_TeamSeasons[[#This Row],[Team]],$Y$3:$Y$17,1,FALSE)</f>
        <v>Chicago Sky</v>
      </c>
    </row>
    <row r="191" spans="1:18" x14ac:dyDescent="0.25">
      <c r="A191" s="27">
        <v>2010</v>
      </c>
      <c r="B191" t="s">
        <v>715</v>
      </c>
      <c r="C191" t="s">
        <v>730</v>
      </c>
      <c r="D191" s="27">
        <v>28</v>
      </c>
      <c r="E191" s="27">
        <v>6</v>
      </c>
      <c r="F191" s="24">
        <v>0.82399999999999995</v>
      </c>
      <c r="G191" s="26">
        <v>0</v>
      </c>
      <c r="H191" s="25">
        <v>81.8</v>
      </c>
      <c r="I191" s="25">
        <v>73.900000000000006</v>
      </c>
      <c r="J191" t="s">
        <v>30</v>
      </c>
      <c r="K191" s="29" t="s">
        <v>30</v>
      </c>
      <c r="L191" s="29" t="s">
        <v>30</v>
      </c>
      <c r="M191" s="33">
        <v>3</v>
      </c>
      <c r="N191" s="33">
        <v>0</v>
      </c>
      <c r="O191" s="29" t="s">
        <v>30</v>
      </c>
      <c r="P191" s="29" t="s">
        <v>30</v>
      </c>
      <c r="Q191" s="29" t="s">
        <v>30</v>
      </c>
      <c r="R191" s="29" t="str">
        <f>VLOOKUP(WNBA_TeamSeasons[[#This Row],[Team]],$Y$3:$Y$17,1,FALSE)</f>
        <v>Seattle Storm</v>
      </c>
    </row>
    <row r="192" spans="1:18" x14ac:dyDescent="0.25">
      <c r="A192" s="27">
        <v>2010</v>
      </c>
      <c r="B192" t="s">
        <v>710</v>
      </c>
      <c r="C192" t="s">
        <v>730</v>
      </c>
      <c r="D192" s="27">
        <v>15</v>
      </c>
      <c r="E192" s="27">
        <v>19</v>
      </c>
      <c r="F192" s="24">
        <v>0.441</v>
      </c>
      <c r="G192" s="26">
        <v>13</v>
      </c>
      <c r="H192" s="25">
        <v>93.9</v>
      </c>
      <c r="I192" s="25">
        <v>93.8</v>
      </c>
      <c r="J192" t="s">
        <v>30</v>
      </c>
      <c r="M192" s="33">
        <v>0</v>
      </c>
      <c r="N192" s="33">
        <v>0</v>
      </c>
      <c r="R192" s="29" t="str">
        <f>VLOOKUP(WNBA_TeamSeasons[[#This Row],[Team]],$Y$3:$Y$17,1,FALSE)</f>
        <v>Phoenix Mercury</v>
      </c>
    </row>
    <row r="193" spans="1:18" x14ac:dyDescent="0.25">
      <c r="A193" s="27">
        <v>2010</v>
      </c>
      <c r="B193" t="s">
        <v>721</v>
      </c>
      <c r="C193" t="s">
        <v>730</v>
      </c>
      <c r="D193" s="27">
        <v>14</v>
      </c>
      <c r="E193" s="27">
        <v>20</v>
      </c>
      <c r="F193" s="24">
        <v>0.41199999999999998</v>
      </c>
      <c r="G193" s="26">
        <v>14</v>
      </c>
      <c r="H193" s="25">
        <v>76.8</v>
      </c>
      <c r="I193" s="25">
        <v>80.099999999999994</v>
      </c>
      <c r="J193" t="s">
        <v>30</v>
      </c>
      <c r="M193" s="33">
        <v>0</v>
      </c>
      <c r="N193" s="33">
        <v>0</v>
      </c>
      <c r="R193" s="29" t="s">
        <v>709</v>
      </c>
    </row>
    <row r="194" spans="1:18" x14ac:dyDescent="0.25">
      <c r="A194" s="27">
        <v>2010</v>
      </c>
      <c r="B194" t="s">
        <v>717</v>
      </c>
      <c r="C194" t="s">
        <v>730</v>
      </c>
      <c r="D194" s="27">
        <v>13</v>
      </c>
      <c r="E194" s="27">
        <v>21</v>
      </c>
      <c r="F194" s="24">
        <v>0.38200000000000001</v>
      </c>
      <c r="G194" s="26">
        <v>15</v>
      </c>
      <c r="H194" s="25">
        <v>77.900000000000006</v>
      </c>
      <c r="I194" s="25">
        <v>81.2</v>
      </c>
      <c r="J194" t="s">
        <v>30</v>
      </c>
      <c r="M194" s="33">
        <v>0</v>
      </c>
      <c r="N194" s="33">
        <v>0</v>
      </c>
      <c r="R194" s="29" t="str">
        <f>VLOOKUP(WNBA_TeamSeasons[[#This Row],[Team]],$Y$3:$Y$17,1,FALSE)</f>
        <v>Los Angeles Sparks</v>
      </c>
    </row>
    <row r="195" spans="1:18" x14ac:dyDescent="0.25">
      <c r="A195" s="27">
        <v>2010</v>
      </c>
      <c r="B195" t="s">
        <v>712</v>
      </c>
      <c r="C195" t="s">
        <v>730</v>
      </c>
      <c r="D195" s="27">
        <v>13</v>
      </c>
      <c r="E195" s="27">
        <v>21</v>
      </c>
      <c r="F195" s="24">
        <v>0.38200000000000001</v>
      </c>
      <c r="G195" s="26">
        <v>15</v>
      </c>
      <c r="H195" s="25">
        <v>78.7</v>
      </c>
      <c r="I195" s="25">
        <v>82.1</v>
      </c>
      <c r="M195" s="33">
        <v>0</v>
      </c>
      <c r="N195" s="33">
        <v>0</v>
      </c>
      <c r="R195" s="29" t="str">
        <f>VLOOKUP(WNBA_TeamSeasons[[#This Row],[Team]],$Y$3:$Y$17,1,FALSE)</f>
        <v>Minnesota Lynx</v>
      </c>
    </row>
    <row r="196" spans="1:18" x14ac:dyDescent="0.25">
      <c r="A196" s="27">
        <v>2010</v>
      </c>
      <c r="B196" t="s">
        <v>734</v>
      </c>
      <c r="C196" t="s">
        <v>730</v>
      </c>
      <c r="D196" s="27">
        <v>6</v>
      </c>
      <c r="E196" s="27">
        <v>28</v>
      </c>
      <c r="F196" s="24">
        <v>0.17599999999999999</v>
      </c>
      <c r="G196" s="26">
        <v>22</v>
      </c>
      <c r="H196" s="25">
        <v>78</v>
      </c>
      <c r="I196" s="25">
        <v>89.8</v>
      </c>
      <c r="M196" s="33">
        <v>0</v>
      </c>
      <c r="N196" s="33">
        <v>0</v>
      </c>
      <c r="R196" s="29" t="s">
        <v>732</v>
      </c>
    </row>
    <row r="197" spans="1:18" x14ac:dyDescent="0.25">
      <c r="A197" s="27">
        <v>2009</v>
      </c>
      <c r="B197" t="s">
        <v>718</v>
      </c>
      <c r="C197" t="s">
        <v>729</v>
      </c>
      <c r="D197" s="27">
        <v>22</v>
      </c>
      <c r="E197" s="27">
        <v>12</v>
      </c>
      <c r="F197" s="24">
        <v>0.64700000000000002</v>
      </c>
      <c r="G197" s="26">
        <v>0</v>
      </c>
      <c r="H197" s="25">
        <v>76.599999999999994</v>
      </c>
      <c r="I197" s="25">
        <v>73.599999999999994</v>
      </c>
      <c r="J197" t="s">
        <v>30</v>
      </c>
      <c r="K197" s="29" t="s">
        <v>30</v>
      </c>
      <c r="M197" s="33">
        <v>2</v>
      </c>
      <c r="N197" s="33">
        <v>3</v>
      </c>
      <c r="O197" s="29" t="s">
        <v>30</v>
      </c>
      <c r="P197" s="29" t="s">
        <v>30</v>
      </c>
      <c r="R197" s="29" t="str">
        <f>VLOOKUP(WNBA_TeamSeasons[[#This Row],[Team]],$Y$3:$Y$17,1,FALSE)</f>
        <v>Indiana Fever</v>
      </c>
    </row>
    <row r="198" spans="1:18" x14ac:dyDescent="0.25">
      <c r="A198" s="27">
        <v>2009</v>
      </c>
      <c r="B198" t="s">
        <v>719</v>
      </c>
      <c r="C198" t="s">
        <v>729</v>
      </c>
      <c r="D198" s="27">
        <v>18</v>
      </c>
      <c r="E198" s="27">
        <v>16</v>
      </c>
      <c r="F198" s="24">
        <v>0.52900000000000003</v>
      </c>
      <c r="G198" s="26">
        <v>4</v>
      </c>
      <c r="H198" s="25">
        <v>84.1</v>
      </c>
      <c r="I198" s="25">
        <v>82.3</v>
      </c>
      <c r="J198" t="s">
        <v>30</v>
      </c>
      <c r="M198" s="33">
        <v>0</v>
      </c>
      <c r="N198" s="33">
        <v>0</v>
      </c>
      <c r="R198" s="29" t="str">
        <f>VLOOKUP(WNBA_TeamSeasons[[#This Row],[Team]],$Y$3:$Y$17,1,FALSE)</f>
        <v>Atlanta Dream</v>
      </c>
    </row>
    <row r="199" spans="1:18" x14ac:dyDescent="0.25">
      <c r="A199" s="27">
        <v>2009</v>
      </c>
      <c r="B199" t="s">
        <v>720</v>
      </c>
      <c r="C199" t="s">
        <v>729</v>
      </c>
      <c r="D199" s="27">
        <v>18</v>
      </c>
      <c r="E199" s="27">
        <v>16</v>
      </c>
      <c r="F199" s="24">
        <v>0.52900000000000003</v>
      </c>
      <c r="G199" s="26">
        <v>4</v>
      </c>
      <c r="H199" s="25">
        <v>78</v>
      </c>
      <c r="I199" s="25">
        <v>77.8</v>
      </c>
      <c r="J199" t="s">
        <v>30</v>
      </c>
      <c r="M199" s="33">
        <v>0</v>
      </c>
      <c r="N199" s="33">
        <v>0</v>
      </c>
      <c r="R199" s="29" t="s">
        <v>732</v>
      </c>
    </row>
    <row r="200" spans="1:18" x14ac:dyDescent="0.25">
      <c r="A200" s="27">
        <v>2009</v>
      </c>
      <c r="B200" t="s">
        <v>716</v>
      </c>
      <c r="C200" t="s">
        <v>729</v>
      </c>
      <c r="D200" s="27">
        <v>16</v>
      </c>
      <c r="E200" s="27">
        <v>18</v>
      </c>
      <c r="F200" s="24">
        <v>0.47099999999999997</v>
      </c>
      <c r="G200" s="26">
        <v>6</v>
      </c>
      <c r="H200" s="25">
        <v>76</v>
      </c>
      <c r="I200" s="25">
        <v>77.099999999999994</v>
      </c>
      <c r="J200" t="s">
        <v>30</v>
      </c>
      <c r="M200" s="33">
        <v>0</v>
      </c>
      <c r="N200" s="33">
        <v>0</v>
      </c>
      <c r="R200" s="29" t="str">
        <f>VLOOKUP(WNBA_TeamSeasons[[#This Row],[Team]],$Y$3:$Y$17,1,FALSE)</f>
        <v>Washington Mystics</v>
      </c>
    </row>
    <row r="201" spans="1:18" x14ac:dyDescent="0.25">
      <c r="A201" s="27">
        <v>2009</v>
      </c>
      <c r="B201" t="s">
        <v>714</v>
      </c>
      <c r="C201" t="s">
        <v>729</v>
      </c>
      <c r="D201" s="27">
        <v>16</v>
      </c>
      <c r="E201" s="27">
        <v>18</v>
      </c>
      <c r="F201" s="24">
        <v>0.47099999999999997</v>
      </c>
      <c r="G201" s="26">
        <v>6</v>
      </c>
      <c r="H201" s="25">
        <v>75.7</v>
      </c>
      <c r="I201" s="25">
        <v>79.2</v>
      </c>
      <c r="M201" s="33">
        <v>0</v>
      </c>
      <c r="N201" s="33">
        <v>0</v>
      </c>
      <c r="R201" s="29" t="str">
        <f>VLOOKUP(WNBA_TeamSeasons[[#This Row],[Team]],$Y$3:$Y$17,1,FALSE)</f>
        <v>Chicago Sky</v>
      </c>
    </row>
    <row r="202" spans="1:18" x14ac:dyDescent="0.25">
      <c r="A202" s="27">
        <v>2009</v>
      </c>
      <c r="B202" t="s">
        <v>713</v>
      </c>
      <c r="C202" t="s">
        <v>729</v>
      </c>
      <c r="D202" s="27">
        <v>16</v>
      </c>
      <c r="E202" s="27">
        <v>18</v>
      </c>
      <c r="F202" s="24">
        <v>0.47099999999999997</v>
      </c>
      <c r="G202" s="26">
        <v>6</v>
      </c>
      <c r="H202" s="25">
        <v>78</v>
      </c>
      <c r="I202" s="25">
        <v>78.099999999999994</v>
      </c>
      <c r="M202" s="33">
        <v>0</v>
      </c>
      <c r="N202" s="33">
        <v>0</v>
      </c>
      <c r="R202" s="29" t="str">
        <f>VLOOKUP(WNBA_TeamSeasons[[#This Row],[Team]],$Y$3:$Y$17,1,FALSE)</f>
        <v>Connecticut Sun</v>
      </c>
    </row>
    <row r="203" spans="1:18" x14ac:dyDescent="0.25">
      <c r="A203" s="27">
        <v>2009</v>
      </c>
      <c r="B203" t="s">
        <v>711</v>
      </c>
      <c r="C203" t="s">
        <v>729</v>
      </c>
      <c r="D203" s="27">
        <v>13</v>
      </c>
      <c r="E203" s="27">
        <v>21</v>
      </c>
      <c r="F203" s="24">
        <v>0.38200000000000001</v>
      </c>
      <c r="G203" s="26">
        <v>9</v>
      </c>
      <c r="H203" s="25">
        <v>72.099999999999994</v>
      </c>
      <c r="I203" s="25">
        <v>72.5</v>
      </c>
      <c r="M203" s="33">
        <v>0</v>
      </c>
      <c r="N203" s="33">
        <v>0</v>
      </c>
      <c r="R203" s="29" t="str">
        <f>VLOOKUP(WNBA_TeamSeasons[[#This Row],[Team]],$Y$3:$Y$17,1,FALSE)</f>
        <v>New York Liberty</v>
      </c>
    </row>
    <row r="204" spans="1:18" x14ac:dyDescent="0.25">
      <c r="A204" s="27">
        <v>2009</v>
      </c>
      <c r="B204" t="s">
        <v>710</v>
      </c>
      <c r="C204" t="s">
        <v>730</v>
      </c>
      <c r="D204" s="27">
        <v>23</v>
      </c>
      <c r="E204" s="27">
        <v>11</v>
      </c>
      <c r="F204" s="24">
        <v>0.67600000000000005</v>
      </c>
      <c r="G204" s="26">
        <v>0</v>
      </c>
      <c r="H204" s="25">
        <v>92.8</v>
      </c>
      <c r="I204" s="25">
        <v>89.1</v>
      </c>
      <c r="J204" t="s">
        <v>30</v>
      </c>
      <c r="K204" s="29" t="s">
        <v>30</v>
      </c>
      <c r="L204" s="29" t="s">
        <v>30</v>
      </c>
      <c r="M204" s="33">
        <v>3</v>
      </c>
      <c r="N204" s="33">
        <v>2</v>
      </c>
      <c r="O204" s="29" t="s">
        <v>30</v>
      </c>
      <c r="P204" s="29" t="s">
        <v>30</v>
      </c>
      <c r="Q204" s="29" t="s">
        <v>30</v>
      </c>
      <c r="R204" s="29" t="str">
        <f>VLOOKUP(WNBA_TeamSeasons[[#This Row],[Team]],$Y$3:$Y$17,1,FALSE)</f>
        <v>Phoenix Mercury</v>
      </c>
    </row>
    <row r="205" spans="1:18" x14ac:dyDescent="0.25">
      <c r="A205" s="27">
        <v>2009</v>
      </c>
      <c r="B205" t="s">
        <v>715</v>
      </c>
      <c r="C205" t="s">
        <v>730</v>
      </c>
      <c r="D205" s="27">
        <v>20</v>
      </c>
      <c r="E205" s="27">
        <v>14</v>
      </c>
      <c r="F205" s="24">
        <v>0.58799999999999997</v>
      </c>
      <c r="G205" s="26">
        <v>3</v>
      </c>
      <c r="H205" s="25">
        <v>74.8</v>
      </c>
      <c r="I205" s="25">
        <v>72.8</v>
      </c>
      <c r="J205" t="s">
        <v>30</v>
      </c>
      <c r="M205" s="33">
        <v>0</v>
      </c>
      <c r="N205" s="33">
        <v>0</v>
      </c>
      <c r="R205" s="29" t="str">
        <f>VLOOKUP(WNBA_TeamSeasons[[#This Row],[Team]],$Y$3:$Y$17,1,FALSE)</f>
        <v>Seattle Storm</v>
      </c>
    </row>
    <row r="206" spans="1:18" x14ac:dyDescent="0.25">
      <c r="A206" s="27">
        <v>2009</v>
      </c>
      <c r="B206" t="s">
        <v>717</v>
      </c>
      <c r="C206" t="s">
        <v>730</v>
      </c>
      <c r="D206" s="27">
        <v>18</v>
      </c>
      <c r="E206" s="27">
        <v>16</v>
      </c>
      <c r="F206" s="24">
        <v>0.52900000000000003</v>
      </c>
      <c r="G206" s="26">
        <v>5</v>
      </c>
      <c r="H206" s="25">
        <v>72.5</v>
      </c>
      <c r="I206" s="25">
        <v>71.7</v>
      </c>
      <c r="J206" t="s">
        <v>30</v>
      </c>
      <c r="M206" s="33">
        <v>0</v>
      </c>
      <c r="N206" s="33">
        <v>0</v>
      </c>
      <c r="R206" s="29" t="str">
        <f>VLOOKUP(WNBA_TeamSeasons[[#This Row],[Team]],$Y$3:$Y$17,1,FALSE)</f>
        <v>Los Angeles Sparks</v>
      </c>
    </row>
    <row r="207" spans="1:18" x14ac:dyDescent="0.25">
      <c r="A207" s="27">
        <v>2009</v>
      </c>
      <c r="B207" t="s">
        <v>721</v>
      </c>
      <c r="C207" t="s">
        <v>730</v>
      </c>
      <c r="D207" s="27">
        <v>15</v>
      </c>
      <c r="E207" s="27">
        <v>19</v>
      </c>
      <c r="F207" s="24">
        <v>0.441</v>
      </c>
      <c r="G207" s="26">
        <v>8</v>
      </c>
      <c r="H207" s="25">
        <v>76.900000000000006</v>
      </c>
      <c r="I207" s="25">
        <v>78.3</v>
      </c>
      <c r="J207" t="s">
        <v>30</v>
      </c>
      <c r="M207" s="33">
        <v>0</v>
      </c>
      <c r="N207" s="33">
        <v>0</v>
      </c>
      <c r="R207" s="29" t="s">
        <v>709</v>
      </c>
    </row>
    <row r="208" spans="1:18" x14ac:dyDescent="0.25">
      <c r="A208" s="27">
        <v>2009</v>
      </c>
      <c r="B208" t="s">
        <v>712</v>
      </c>
      <c r="C208" t="s">
        <v>730</v>
      </c>
      <c r="D208" s="27">
        <v>14</v>
      </c>
      <c r="E208" s="27">
        <v>20</v>
      </c>
      <c r="F208" s="24">
        <v>0.41199999999999998</v>
      </c>
      <c r="G208" s="26">
        <v>9</v>
      </c>
      <c r="H208" s="25">
        <v>80.3</v>
      </c>
      <c r="I208" s="25">
        <v>83.1</v>
      </c>
      <c r="M208" s="33">
        <v>0</v>
      </c>
      <c r="N208" s="33">
        <v>0</v>
      </c>
      <c r="R208" s="29" t="str">
        <f>VLOOKUP(WNBA_TeamSeasons[[#This Row],[Team]],$Y$3:$Y$17,1,FALSE)</f>
        <v>Minnesota Lynx</v>
      </c>
    </row>
    <row r="209" spans="1:18" x14ac:dyDescent="0.25">
      <c r="A209" s="27">
        <v>2009</v>
      </c>
      <c r="B209" t="s">
        <v>722</v>
      </c>
      <c r="C209" t="s">
        <v>730</v>
      </c>
      <c r="D209" s="27">
        <v>12</v>
      </c>
      <c r="E209" s="27">
        <v>22</v>
      </c>
      <c r="F209" s="24">
        <v>0.35299999999999998</v>
      </c>
      <c r="G209" s="26">
        <v>11</v>
      </c>
      <c r="H209" s="25">
        <v>76.8</v>
      </c>
      <c r="I209" s="25">
        <v>79.099999999999994</v>
      </c>
      <c r="M209" s="33">
        <v>0</v>
      </c>
      <c r="N209" s="33">
        <v>0</v>
      </c>
      <c r="R209" s="29" t="str">
        <f>WNBA_TeamSeasons[[#This Row],[Team]]</f>
        <v>Sacramento Monarchs</v>
      </c>
    </row>
    <row r="210" spans="1:18" x14ac:dyDescent="0.25">
      <c r="A210" s="27">
        <v>2008</v>
      </c>
      <c r="B210" t="s">
        <v>720</v>
      </c>
      <c r="C210" t="s">
        <v>729</v>
      </c>
      <c r="D210" s="27">
        <v>22</v>
      </c>
      <c r="E210" s="27">
        <v>12</v>
      </c>
      <c r="F210" s="24">
        <v>0.64700000000000002</v>
      </c>
      <c r="G210" s="26">
        <v>0</v>
      </c>
      <c r="H210" s="25">
        <v>78.599999999999994</v>
      </c>
      <c r="I210" s="25">
        <v>74.2</v>
      </c>
      <c r="J210" t="s">
        <v>30</v>
      </c>
      <c r="K210" s="29" t="s">
        <v>30</v>
      </c>
      <c r="M210" s="33">
        <v>3</v>
      </c>
      <c r="N210" s="33">
        <v>0</v>
      </c>
      <c r="O210" s="29" t="s">
        <v>30</v>
      </c>
      <c r="P210" s="29" t="s">
        <v>30</v>
      </c>
      <c r="Q210" s="29" t="s">
        <v>30</v>
      </c>
      <c r="R210" s="29" t="s">
        <v>732</v>
      </c>
    </row>
    <row r="211" spans="1:18" x14ac:dyDescent="0.25">
      <c r="A211" s="27">
        <v>2008</v>
      </c>
      <c r="B211" t="s">
        <v>713</v>
      </c>
      <c r="C211" t="s">
        <v>729</v>
      </c>
      <c r="D211" s="27">
        <v>21</v>
      </c>
      <c r="E211" s="27">
        <v>13</v>
      </c>
      <c r="F211" s="24">
        <v>0.61799999999999999</v>
      </c>
      <c r="G211" s="26">
        <v>1</v>
      </c>
      <c r="H211" s="25">
        <v>79.099999999999994</v>
      </c>
      <c r="I211" s="25">
        <v>74.7</v>
      </c>
      <c r="J211" t="s">
        <v>30</v>
      </c>
      <c r="M211" s="33">
        <v>0</v>
      </c>
      <c r="N211" s="33">
        <v>0</v>
      </c>
      <c r="R211" s="29" t="str">
        <f>VLOOKUP(WNBA_TeamSeasons[[#This Row],[Team]],$Y$3:$Y$17,1,FALSE)</f>
        <v>Connecticut Sun</v>
      </c>
    </row>
    <row r="212" spans="1:18" x14ac:dyDescent="0.25">
      <c r="A212" s="27">
        <v>2008</v>
      </c>
      <c r="B212" t="s">
        <v>711</v>
      </c>
      <c r="C212" t="s">
        <v>729</v>
      </c>
      <c r="D212" s="27">
        <v>19</v>
      </c>
      <c r="E212" s="27">
        <v>15</v>
      </c>
      <c r="F212" s="24">
        <v>0.55900000000000005</v>
      </c>
      <c r="G212" s="26">
        <v>3</v>
      </c>
      <c r="H212" s="25">
        <v>75.7</v>
      </c>
      <c r="I212" s="25">
        <v>74.599999999999994</v>
      </c>
      <c r="J212" t="s">
        <v>30</v>
      </c>
      <c r="M212" s="33">
        <v>0</v>
      </c>
      <c r="N212" s="33">
        <v>0</v>
      </c>
      <c r="R212" s="29" t="str">
        <f>VLOOKUP(WNBA_TeamSeasons[[#This Row],[Team]],$Y$3:$Y$17,1,FALSE)</f>
        <v>New York Liberty</v>
      </c>
    </row>
    <row r="213" spans="1:18" x14ac:dyDescent="0.25">
      <c r="A213" s="27">
        <v>2008</v>
      </c>
      <c r="B213" t="s">
        <v>718</v>
      </c>
      <c r="C213" t="s">
        <v>729</v>
      </c>
      <c r="D213" s="27">
        <v>17</v>
      </c>
      <c r="E213" s="27">
        <v>17</v>
      </c>
      <c r="F213" s="24">
        <v>0.5</v>
      </c>
      <c r="G213" s="26">
        <v>5</v>
      </c>
      <c r="H213" s="25">
        <v>72.7</v>
      </c>
      <c r="I213" s="25">
        <v>72.3</v>
      </c>
      <c r="J213" t="s">
        <v>30</v>
      </c>
      <c r="M213" s="33">
        <v>0</v>
      </c>
      <c r="N213" s="33">
        <v>0</v>
      </c>
      <c r="R213" s="29" t="str">
        <f>VLOOKUP(WNBA_TeamSeasons[[#This Row],[Team]],$Y$3:$Y$17,1,FALSE)</f>
        <v>Indiana Fever</v>
      </c>
    </row>
    <row r="214" spans="1:18" x14ac:dyDescent="0.25">
      <c r="A214" s="27">
        <v>2008</v>
      </c>
      <c r="B214" t="s">
        <v>714</v>
      </c>
      <c r="C214" t="s">
        <v>729</v>
      </c>
      <c r="D214" s="27">
        <v>12</v>
      </c>
      <c r="E214" s="27">
        <v>22</v>
      </c>
      <c r="F214" s="24">
        <v>0.35299999999999998</v>
      </c>
      <c r="G214" s="26">
        <v>10</v>
      </c>
      <c r="H214" s="25">
        <v>72.7</v>
      </c>
      <c r="I214" s="25">
        <v>73.8</v>
      </c>
      <c r="M214" s="33">
        <v>0</v>
      </c>
      <c r="N214" s="33">
        <v>0</v>
      </c>
      <c r="R214" s="29" t="str">
        <f>VLOOKUP(WNBA_TeamSeasons[[#This Row],[Team]],$Y$3:$Y$17,1,FALSE)</f>
        <v>Chicago Sky</v>
      </c>
    </row>
    <row r="215" spans="1:18" x14ac:dyDescent="0.25">
      <c r="A215" s="27">
        <v>2008</v>
      </c>
      <c r="B215" t="s">
        <v>716</v>
      </c>
      <c r="C215" t="s">
        <v>729</v>
      </c>
      <c r="D215" s="27">
        <v>10</v>
      </c>
      <c r="E215" s="27">
        <v>24</v>
      </c>
      <c r="F215" s="24">
        <v>0.29399999999999998</v>
      </c>
      <c r="G215" s="26">
        <v>12</v>
      </c>
      <c r="H215" s="25">
        <v>69.599999999999994</v>
      </c>
      <c r="I215" s="25">
        <v>76.5</v>
      </c>
      <c r="M215" s="33">
        <v>0</v>
      </c>
      <c r="N215" s="33">
        <v>0</v>
      </c>
      <c r="R215" s="29" t="str">
        <f>VLOOKUP(WNBA_TeamSeasons[[#This Row],[Team]],$Y$3:$Y$17,1,FALSE)</f>
        <v>Washington Mystics</v>
      </c>
    </row>
    <row r="216" spans="1:18" x14ac:dyDescent="0.25">
      <c r="A216" s="27">
        <v>2008</v>
      </c>
      <c r="B216" t="s">
        <v>719</v>
      </c>
      <c r="C216" t="s">
        <v>729</v>
      </c>
      <c r="D216" s="27">
        <v>4</v>
      </c>
      <c r="E216" s="27">
        <v>30</v>
      </c>
      <c r="F216" s="24">
        <v>0.11799999999999999</v>
      </c>
      <c r="G216" s="26">
        <v>18</v>
      </c>
      <c r="H216" s="25">
        <v>74.5</v>
      </c>
      <c r="I216" s="25">
        <v>84.7</v>
      </c>
      <c r="M216" s="33">
        <v>0</v>
      </c>
      <c r="N216" s="33">
        <v>0</v>
      </c>
      <c r="R216" s="29" t="str">
        <f>VLOOKUP(WNBA_TeamSeasons[[#This Row],[Team]],$Y$3:$Y$17,1,FALSE)</f>
        <v>Atlanta Dream</v>
      </c>
    </row>
    <row r="217" spans="1:18" x14ac:dyDescent="0.25">
      <c r="A217" s="27">
        <v>2008</v>
      </c>
      <c r="B217" t="s">
        <v>721</v>
      </c>
      <c r="C217" t="s">
        <v>730</v>
      </c>
      <c r="D217" s="27">
        <v>24</v>
      </c>
      <c r="E217" s="27">
        <v>10</v>
      </c>
      <c r="F217" s="24">
        <v>0.70599999999999996</v>
      </c>
      <c r="G217" s="26">
        <v>0</v>
      </c>
      <c r="H217" s="25">
        <v>74.900000000000006</v>
      </c>
      <c r="I217" s="25">
        <v>71.099999999999994</v>
      </c>
      <c r="J217" t="s">
        <v>30</v>
      </c>
      <c r="K217" s="29" t="s">
        <v>30</v>
      </c>
      <c r="L217" s="29" t="s">
        <v>30</v>
      </c>
      <c r="M217" s="33">
        <v>0</v>
      </c>
      <c r="N217" s="33">
        <v>3</v>
      </c>
      <c r="O217" s="29" t="s">
        <v>30</v>
      </c>
      <c r="P217" s="29" t="s">
        <v>30</v>
      </c>
      <c r="R217" s="29" t="s">
        <v>709</v>
      </c>
    </row>
    <row r="218" spans="1:18" x14ac:dyDescent="0.25">
      <c r="A218" s="27">
        <v>2008</v>
      </c>
      <c r="B218" t="s">
        <v>715</v>
      </c>
      <c r="C218" t="s">
        <v>730</v>
      </c>
      <c r="D218" s="27">
        <v>22</v>
      </c>
      <c r="E218" s="27">
        <v>12</v>
      </c>
      <c r="F218" s="24">
        <v>0.64700000000000002</v>
      </c>
      <c r="G218" s="26">
        <v>2</v>
      </c>
      <c r="H218" s="25">
        <v>73.3</v>
      </c>
      <c r="I218" s="25">
        <v>70.8</v>
      </c>
      <c r="J218" t="s">
        <v>30</v>
      </c>
      <c r="M218" s="33">
        <v>0</v>
      </c>
      <c r="N218" s="33">
        <v>0</v>
      </c>
      <c r="R218" s="29" t="str">
        <f>VLOOKUP(WNBA_TeamSeasons[[#This Row],[Team]],$Y$3:$Y$17,1,FALSE)</f>
        <v>Seattle Storm</v>
      </c>
    </row>
    <row r="219" spans="1:18" x14ac:dyDescent="0.25">
      <c r="A219" s="27">
        <v>2008</v>
      </c>
      <c r="B219" t="s">
        <v>717</v>
      </c>
      <c r="C219" t="s">
        <v>730</v>
      </c>
      <c r="D219" s="27">
        <v>20</v>
      </c>
      <c r="E219" s="27">
        <v>14</v>
      </c>
      <c r="F219" s="24">
        <v>0.58799999999999997</v>
      </c>
      <c r="G219" s="26">
        <v>4</v>
      </c>
      <c r="H219" s="25">
        <v>76.400000000000006</v>
      </c>
      <c r="I219" s="25">
        <v>74.2</v>
      </c>
      <c r="J219" t="s">
        <v>30</v>
      </c>
      <c r="M219" s="33">
        <v>0</v>
      </c>
      <c r="N219" s="33">
        <v>0</v>
      </c>
      <c r="R219" s="29" t="str">
        <f>VLOOKUP(WNBA_TeamSeasons[[#This Row],[Team]],$Y$3:$Y$17,1,FALSE)</f>
        <v>Los Angeles Sparks</v>
      </c>
    </row>
    <row r="220" spans="1:18" x14ac:dyDescent="0.25">
      <c r="A220" s="27">
        <v>2008</v>
      </c>
      <c r="B220" t="s">
        <v>722</v>
      </c>
      <c r="C220" t="s">
        <v>730</v>
      </c>
      <c r="D220" s="27">
        <v>18</v>
      </c>
      <c r="E220" s="27">
        <v>16</v>
      </c>
      <c r="F220" s="24">
        <v>0.52900000000000003</v>
      </c>
      <c r="G220" s="26">
        <v>6</v>
      </c>
      <c r="H220" s="25">
        <v>74.900000000000006</v>
      </c>
      <c r="I220" s="25">
        <v>75.599999999999994</v>
      </c>
      <c r="J220" t="s">
        <v>30</v>
      </c>
      <c r="M220" s="33">
        <v>0</v>
      </c>
      <c r="N220" s="33">
        <v>0</v>
      </c>
      <c r="R220" s="29" t="str">
        <f>WNBA_TeamSeasons[[#This Row],[Team]]</f>
        <v>Sacramento Monarchs</v>
      </c>
    </row>
    <row r="221" spans="1:18" x14ac:dyDescent="0.25">
      <c r="A221" s="27">
        <v>2008</v>
      </c>
      <c r="B221" t="s">
        <v>724</v>
      </c>
      <c r="C221" t="s">
        <v>730</v>
      </c>
      <c r="D221" s="27">
        <v>17</v>
      </c>
      <c r="E221" s="27">
        <v>17</v>
      </c>
      <c r="F221" s="24">
        <v>0.5</v>
      </c>
      <c r="G221" s="26">
        <v>7</v>
      </c>
      <c r="H221" s="25">
        <v>75.3</v>
      </c>
      <c r="I221" s="25">
        <v>76.599999999999994</v>
      </c>
      <c r="M221" s="33">
        <v>0</v>
      </c>
      <c r="N221" s="33">
        <v>0</v>
      </c>
      <c r="R221" s="29" t="str">
        <f>WNBA_TeamSeasons[[#This Row],[Team]]</f>
        <v>Houston Comets</v>
      </c>
    </row>
    <row r="222" spans="1:18" x14ac:dyDescent="0.25">
      <c r="A222" s="27">
        <v>2008</v>
      </c>
      <c r="B222" t="s">
        <v>712</v>
      </c>
      <c r="C222" t="s">
        <v>730</v>
      </c>
      <c r="D222" s="27">
        <v>16</v>
      </c>
      <c r="E222" s="27">
        <v>18</v>
      </c>
      <c r="F222" s="24">
        <v>0.47099999999999997</v>
      </c>
      <c r="G222" s="26">
        <v>8</v>
      </c>
      <c r="H222" s="25">
        <v>81.400000000000006</v>
      </c>
      <c r="I222" s="25">
        <v>80</v>
      </c>
      <c r="M222" s="33">
        <v>0</v>
      </c>
      <c r="N222" s="33">
        <v>0</v>
      </c>
      <c r="R222" s="29" t="str">
        <f>VLOOKUP(WNBA_TeamSeasons[[#This Row],[Team]],$Y$3:$Y$17,1,FALSE)</f>
        <v>Minnesota Lynx</v>
      </c>
    </row>
    <row r="223" spans="1:18" x14ac:dyDescent="0.25">
      <c r="A223" s="27">
        <v>2008</v>
      </c>
      <c r="B223" t="s">
        <v>710</v>
      </c>
      <c r="C223" t="s">
        <v>730</v>
      </c>
      <c r="D223" s="27">
        <v>16</v>
      </c>
      <c r="E223" s="27">
        <v>18</v>
      </c>
      <c r="F223" s="24">
        <v>0.47099999999999997</v>
      </c>
      <c r="G223" s="26">
        <v>8</v>
      </c>
      <c r="H223" s="25">
        <v>88.5</v>
      </c>
      <c r="I223" s="25">
        <v>88.5</v>
      </c>
      <c r="M223" s="33">
        <v>0</v>
      </c>
      <c r="N223" s="33">
        <v>0</v>
      </c>
      <c r="R223" s="29" t="str">
        <f>VLOOKUP(WNBA_TeamSeasons[[#This Row],[Team]],$Y$3:$Y$17,1,FALSE)</f>
        <v>Phoenix Mercury</v>
      </c>
    </row>
    <row r="224" spans="1:18" x14ac:dyDescent="0.25">
      <c r="A224" s="27">
        <v>2007</v>
      </c>
      <c r="B224" t="s">
        <v>720</v>
      </c>
      <c r="C224" t="s">
        <v>729</v>
      </c>
      <c r="D224" s="27">
        <v>24</v>
      </c>
      <c r="E224" s="27">
        <v>10</v>
      </c>
      <c r="F224" s="24">
        <v>0.70599999999999996</v>
      </c>
      <c r="G224" s="26">
        <v>0</v>
      </c>
      <c r="H224" s="25">
        <v>79.3</v>
      </c>
      <c r="I224" s="25">
        <v>74.7</v>
      </c>
      <c r="J224" t="s">
        <v>30</v>
      </c>
      <c r="K224" s="29" t="s">
        <v>30</v>
      </c>
      <c r="L224" s="29" t="s">
        <v>30</v>
      </c>
      <c r="M224" s="33">
        <v>2</v>
      </c>
      <c r="N224" s="33">
        <v>3</v>
      </c>
      <c r="O224" s="29" t="s">
        <v>30</v>
      </c>
      <c r="P224" s="29" t="s">
        <v>30</v>
      </c>
      <c r="R224" s="29" t="s">
        <v>732</v>
      </c>
    </row>
    <row r="225" spans="1:18" x14ac:dyDescent="0.25">
      <c r="A225" s="27">
        <v>2007</v>
      </c>
      <c r="B225" t="s">
        <v>718</v>
      </c>
      <c r="C225" t="s">
        <v>729</v>
      </c>
      <c r="D225" s="27">
        <v>21</v>
      </c>
      <c r="E225" s="27">
        <v>13</v>
      </c>
      <c r="F225" s="24">
        <v>0.61799999999999999</v>
      </c>
      <c r="G225" s="26">
        <v>3</v>
      </c>
      <c r="H225" s="25">
        <v>72.900000000000006</v>
      </c>
      <c r="I225" s="25">
        <v>69.7</v>
      </c>
      <c r="J225" t="s">
        <v>30</v>
      </c>
      <c r="M225" s="33">
        <v>0</v>
      </c>
      <c r="N225" s="33">
        <v>0</v>
      </c>
      <c r="R225" s="29" t="str">
        <f>VLOOKUP(WNBA_TeamSeasons[[#This Row],[Team]],$Y$3:$Y$17,1,FALSE)</f>
        <v>Indiana Fever</v>
      </c>
    </row>
    <row r="226" spans="1:18" x14ac:dyDescent="0.25">
      <c r="A226" s="27">
        <v>2007</v>
      </c>
      <c r="B226" t="s">
        <v>713</v>
      </c>
      <c r="C226" t="s">
        <v>729</v>
      </c>
      <c r="D226" s="27">
        <v>18</v>
      </c>
      <c r="E226" s="27">
        <v>16</v>
      </c>
      <c r="F226" s="24">
        <v>0.52900000000000003</v>
      </c>
      <c r="G226" s="26">
        <v>6</v>
      </c>
      <c r="H226" s="25">
        <v>76.5</v>
      </c>
      <c r="I226" s="25">
        <v>74</v>
      </c>
      <c r="J226" t="s">
        <v>30</v>
      </c>
      <c r="M226" s="33">
        <v>0</v>
      </c>
      <c r="N226" s="33">
        <v>0</v>
      </c>
      <c r="R226" s="29" t="str">
        <f>VLOOKUP(WNBA_TeamSeasons[[#This Row],[Team]],$Y$3:$Y$17,1,FALSE)</f>
        <v>Connecticut Sun</v>
      </c>
    </row>
    <row r="227" spans="1:18" x14ac:dyDescent="0.25">
      <c r="A227" s="27">
        <v>2007</v>
      </c>
      <c r="B227" t="s">
        <v>711</v>
      </c>
      <c r="C227" t="s">
        <v>729</v>
      </c>
      <c r="D227" s="27">
        <v>16</v>
      </c>
      <c r="E227" s="27">
        <v>18</v>
      </c>
      <c r="F227" s="24">
        <v>0.47099999999999997</v>
      </c>
      <c r="G227" s="26">
        <v>8</v>
      </c>
      <c r="H227" s="25">
        <v>68.7</v>
      </c>
      <c r="I227" s="25">
        <v>71.400000000000006</v>
      </c>
      <c r="J227" t="s">
        <v>30</v>
      </c>
      <c r="M227" s="33">
        <v>0</v>
      </c>
      <c r="N227" s="33">
        <v>0</v>
      </c>
      <c r="R227" s="29" t="str">
        <f>VLOOKUP(WNBA_TeamSeasons[[#This Row],[Team]],$Y$3:$Y$17,1,FALSE)</f>
        <v>New York Liberty</v>
      </c>
    </row>
    <row r="228" spans="1:18" x14ac:dyDescent="0.25">
      <c r="A228" s="27">
        <v>2007</v>
      </c>
      <c r="B228" t="s">
        <v>716</v>
      </c>
      <c r="C228" t="s">
        <v>729</v>
      </c>
      <c r="D228" s="27">
        <v>16</v>
      </c>
      <c r="E228" s="27">
        <v>18</v>
      </c>
      <c r="F228" s="24">
        <v>0.47099999999999997</v>
      </c>
      <c r="G228" s="26">
        <v>8</v>
      </c>
      <c r="H228" s="25">
        <v>76</v>
      </c>
      <c r="I228" s="25">
        <v>77.599999999999994</v>
      </c>
      <c r="M228" s="33">
        <v>0</v>
      </c>
      <c r="N228" s="33">
        <v>0</v>
      </c>
      <c r="R228" s="29" t="str">
        <f>VLOOKUP(WNBA_TeamSeasons[[#This Row],[Team]],$Y$3:$Y$17,1,FALSE)</f>
        <v>Washington Mystics</v>
      </c>
    </row>
    <row r="229" spans="1:18" x14ac:dyDescent="0.25">
      <c r="A229" s="27">
        <v>2007</v>
      </c>
      <c r="B229" t="s">
        <v>714</v>
      </c>
      <c r="C229" t="s">
        <v>729</v>
      </c>
      <c r="D229" s="27">
        <v>14</v>
      </c>
      <c r="E229" s="27">
        <v>20</v>
      </c>
      <c r="F229" s="24">
        <v>0.41199999999999998</v>
      </c>
      <c r="G229" s="26">
        <v>10</v>
      </c>
      <c r="H229" s="25">
        <v>74.3</v>
      </c>
      <c r="I229" s="25">
        <v>76.8</v>
      </c>
      <c r="M229" s="33">
        <v>0</v>
      </c>
      <c r="N229" s="33">
        <v>0</v>
      </c>
      <c r="R229" s="29" t="str">
        <f>VLOOKUP(WNBA_TeamSeasons[[#This Row],[Team]],$Y$3:$Y$17,1,FALSE)</f>
        <v>Chicago Sky</v>
      </c>
    </row>
    <row r="230" spans="1:18" x14ac:dyDescent="0.25">
      <c r="A230" s="27">
        <v>2007</v>
      </c>
      <c r="B230" t="s">
        <v>710</v>
      </c>
      <c r="C230" t="s">
        <v>730</v>
      </c>
      <c r="D230" s="27">
        <v>23</v>
      </c>
      <c r="E230" s="27">
        <v>11</v>
      </c>
      <c r="F230" s="24">
        <v>0.67600000000000005</v>
      </c>
      <c r="G230" s="26">
        <v>0</v>
      </c>
      <c r="H230" s="25">
        <v>89</v>
      </c>
      <c r="I230" s="25">
        <v>85.4</v>
      </c>
      <c r="J230" t="s">
        <v>30</v>
      </c>
      <c r="K230" s="29" t="s">
        <v>30</v>
      </c>
      <c r="M230" s="33">
        <v>3</v>
      </c>
      <c r="N230" s="33">
        <v>2</v>
      </c>
      <c r="O230" s="29" t="s">
        <v>30</v>
      </c>
      <c r="P230" s="29" t="s">
        <v>30</v>
      </c>
      <c r="Q230" s="29" t="s">
        <v>30</v>
      </c>
      <c r="R230" s="29" t="str">
        <f>VLOOKUP(WNBA_TeamSeasons[[#This Row],[Team]],$Y$3:$Y$17,1,FALSE)</f>
        <v>Phoenix Mercury</v>
      </c>
    </row>
    <row r="231" spans="1:18" x14ac:dyDescent="0.25">
      <c r="A231" s="27">
        <v>2007</v>
      </c>
      <c r="B231" t="s">
        <v>721</v>
      </c>
      <c r="C231" t="s">
        <v>730</v>
      </c>
      <c r="D231" s="27">
        <v>20</v>
      </c>
      <c r="E231" s="27">
        <v>14</v>
      </c>
      <c r="F231" s="24">
        <v>0.58799999999999997</v>
      </c>
      <c r="G231" s="26">
        <v>3</v>
      </c>
      <c r="H231" s="25">
        <v>74</v>
      </c>
      <c r="I231" s="25">
        <v>73.099999999999994</v>
      </c>
      <c r="J231" t="s">
        <v>30</v>
      </c>
      <c r="M231" s="33">
        <v>0</v>
      </c>
      <c r="N231" s="33">
        <v>0</v>
      </c>
      <c r="R231" s="29" t="s">
        <v>709</v>
      </c>
    </row>
    <row r="232" spans="1:18" x14ac:dyDescent="0.25">
      <c r="A232" s="27">
        <v>2007</v>
      </c>
      <c r="B232" t="s">
        <v>722</v>
      </c>
      <c r="C232" t="s">
        <v>730</v>
      </c>
      <c r="D232" s="27">
        <v>19</v>
      </c>
      <c r="E232" s="27">
        <v>15</v>
      </c>
      <c r="F232" s="24">
        <v>0.55900000000000005</v>
      </c>
      <c r="G232" s="26">
        <v>4</v>
      </c>
      <c r="H232" s="25">
        <v>74.3</v>
      </c>
      <c r="I232" s="25">
        <v>72.900000000000006</v>
      </c>
      <c r="J232" t="s">
        <v>30</v>
      </c>
      <c r="M232" s="33">
        <v>0</v>
      </c>
      <c r="N232" s="33">
        <v>0</v>
      </c>
      <c r="R232" s="29" t="str">
        <f>WNBA_TeamSeasons[[#This Row],[Team]]</f>
        <v>Sacramento Monarchs</v>
      </c>
    </row>
    <row r="233" spans="1:18" x14ac:dyDescent="0.25">
      <c r="A233" s="27">
        <v>2007</v>
      </c>
      <c r="B233" t="s">
        <v>715</v>
      </c>
      <c r="C233" t="s">
        <v>730</v>
      </c>
      <c r="D233" s="27">
        <v>17</v>
      </c>
      <c r="E233" s="27">
        <v>17</v>
      </c>
      <c r="F233" s="24">
        <v>0.5</v>
      </c>
      <c r="G233" s="26">
        <v>6</v>
      </c>
      <c r="H233" s="25">
        <v>80.400000000000006</v>
      </c>
      <c r="I233" s="25">
        <v>77.900000000000006</v>
      </c>
      <c r="J233" t="s">
        <v>30</v>
      </c>
      <c r="M233" s="33">
        <v>0</v>
      </c>
      <c r="N233" s="33">
        <v>0</v>
      </c>
      <c r="R233" s="29" t="str">
        <f>VLOOKUP(WNBA_TeamSeasons[[#This Row],[Team]],$Y$3:$Y$17,1,FALSE)</f>
        <v>Seattle Storm</v>
      </c>
    </row>
    <row r="234" spans="1:18" x14ac:dyDescent="0.25">
      <c r="A234" s="27">
        <v>2007</v>
      </c>
      <c r="B234" t="s">
        <v>724</v>
      </c>
      <c r="C234" t="s">
        <v>730</v>
      </c>
      <c r="D234" s="27">
        <v>13</v>
      </c>
      <c r="E234" s="27">
        <v>21</v>
      </c>
      <c r="F234" s="24">
        <v>0.38200000000000001</v>
      </c>
      <c r="G234" s="26">
        <v>10</v>
      </c>
      <c r="H234" s="25">
        <v>73.8</v>
      </c>
      <c r="I234" s="25">
        <v>77.3</v>
      </c>
      <c r="M234" s="33">
        <v>0</v>
      </c>
      <c r="N234" s="33">
        <v>0</v>
      </c>
      <c r="R234" s="29" t="str">
        <f>WNBA_TeamSeasons[[#This Row],[Team]]</f>
        <v>Houston Comets</v>
      </c>
    </row>
    <row r="235" spans="1:18" x14ac:dyDescent="0.25">
      <c r="A235" s="27">
        <v>2007</v>
      </c>
      <c r="B235" t="s">
        <v>717</v>
      </c>
      <c r="C235" t="s">
        <v>730</v>
      </c>
      <c r="D235" s="27">
        <v>10</v>
      </c>
      <c r="E235" s="27">
        <v>24</v>
      </c>
      <c r="F235" s="24">
        <v>0.29399999999999998</v>
      </c>
      <c r="G235" s="26">
        <v>13</v>
      </c>
      <c r="H235" s="25">
        <v>74.5</v>
      </c>
      <c r="I235" s="25">
        <v>79.599999999999994</v>
      </c>
      <c r="M235" s="33">
        <v>0</v>
      </c>
      <c r="N235" s="33">
        <v>0</v>
      </c>
      <c r="R235" s="29" t="str">
        <f>VLOOKUP(WNBA_TeamSeasons[[#This Row],[Team]],$Y$3:$Y$17,1,FALSE)</f>
        <v>Los Angeles Sparks</v>
      </c>
    </row>
    <row r="236" spans="1:18" x14ac:dyDescent="0.25">
      <c r="A236" s="27">
        <v>2007</v>
      </c>
      <c r="B236" t="s">
        <v>712</v>
      </c>
      <c r="C236" t="s">
        <v>730</v>
      </c>
      <c r="D236" s="27">
        <v>10</v>
      </c>
      <c r="E236" s="27">
        <v>24</v>
      </c>
      <c r="F236" s="24">
        <v>0.29399999999999998</v>
      </c>
      <c r="G236" s="26">
        <v>13</v>
      </c>
      <c r="H236" s="25">
        <v>77.5</v>
      </c>
      <c r="I236" s="25">
        <v>80.900000000000006</v>
      </c>
      <c r="M236" s="33">
        <v>0</v>
      </c>
      <c r="N236" s="33">
        <v>0</v>
      </c>
      <c r="R236" s="29" t="str">
        <f>VLOOKUP(WNBA_TeamSeasons[[#This Row],[Team]],$Y$3:$Y$17,1,FALSE)</f>
        <v>Minnesota Lynx</v>
      </c>
    </row>
    <row r="237" spans="1:18" x14ac:dyDescent="0.25">
      <c r="A237" s="27">
        <v>2006</v>
      </c>
      <c r="B237" t="s">
        <v>713</v>
      </c>
      <c r="C237" t="s">
        <v>729</v>
      </c>
      <c r="D237" s="27">
        <v>26</v>
      </c>
      <c r="E237" s="27">
        <v>8</v>
      </c>
      <c r="F237" s="24">
        <v>0.76500000000000001</v>
      </c>
      <c r="G237" s="26">
        <v>0</v>
      </c>
      <c r="H237" s="25">
        <v>78.900000000000006</v>
      </c>
      <c r="I237" s="25">
        <v>71.099999999999994</v>
      </c>
      <c r="J237" t="s">
        <v>30</v>
      </c>
      <c r="K237" s="29" t="s">
        <v>30</v>
      </c>
      <c r="L237" s="29" t="s">
        <v>30</v>
      </c>
      <c r="M237" s="33">
        <v>0</v>
      </c>
      <c r="N237" s="33">
        <v>0</v>
      </c>
      <c r="R237" s="29" t="str">
        <f>VLOOKUP(WNBA_TeamSeasons[[#This Row],[Team]],$Y$3:$Y$17,1,FALSE)</f>
        <v>Connecticut Sun</v>
      </c>
    </row>
    <row r="238" spans="1:18" x14ac:dyDescent="0.25">
      <c r="A238" s="27">
        <v>2006</v>
      </c>
      <c r="B238" t="s">
        <v>720</v>
      </c>
      <c r="C238" t="s">
        <v>729</v>
      </c>
      <c r="D238" s="27">
        <v>23</v>
      </c>
      <c r="E238" s="27">
        <v>11</v>
      </c>
      <c r="F238" s="24">
        <v>0.67600000000000005</v>
      </c>
      <c r="G238" s="26">
        <v>3</v>
      </c>
      <c r="H238" s="25">
        <v>74.3</v>
      </c>
      <c r="I238" s="25">
        <v>70.099999999999994</v>
      </c>
      <c r="J238" t="s">
        <v>30</v>
      </c>
      <c r="M238" s="33">
        <v>3</v>
      </c>
      <c r="N238" s="33">
        <v>2</v>
      </c>
      <c r="O238" s="29" t="s">
        <v>30</v>
      </c>
      <c r="P238" s="29" t="s">
        <v>30</v>
      </c>
      <c r="Q238" s="29" t="s">
        <v>30</v>
      </c>
      <c r="R238" s="29" t="s">
        <v>732</v>
      </c>
    </row>
    <row r="239" spans="1:18" x14ac:dyDescent="0.25">
      <c r="A239" s="27">
        <v>2006</v>
      </c>
      <c r="B239" t="s">
        <v>718</v>
      </c>
      <c r="C239" t="s">
        <v>729</v>
      </c>
      <c r="D239" s="27">
        <v>21</v>
      </c>
      <c r="E239" s="27">
        <v>13</v>
      </c>
      <c r="F239" s="24">
        <v>0.61799999999999999</v>
      </c>
      <c r="G239" s="26">
        <v>5</v>
      </c>
      <c r="H239" s="25">
        <v>71.599999999999994</v>
      </c>
      <c r="I239" s="25">
        <v>68.099999999999994</v>
      </c>
      <c r="J239" t="s">
        <v>30</v>
      </c>
      <c r="M239" s="33">
        <v>0</v>
      </c>
      <c r="N239" s="33">
        <v>0</v>
      </c>
      <c r="R239" s="29" t="str">
        <f>VLOOKUP(WNBA_TeamSeasons[[#This Row],[Team]],$Y$3:$Y$17,1,FALSE)</f>
        <v>Indiana Fever</v>
      </c>
    </row>
    <row r="240" spans="1:18" x14ac:dyDescent="0.25">
      <c r="A240" s="27">
        <v>2006</v>
      </c>
      <c r="B240" t="s">
        <v>716</v>
      </c>
      <c r="C240" t="s">
        <v>729</v>
      </c>
      <c r="D240" s="27">
        <v>18</v>
      </c>
      <c r="E240" s="27">
        <v>16</v>
      </c>
      <c r="F240" s="24">
        <v>0.52900000000000003</v>
      </c>
      <c r="G240" s="26">
        <v>8</v>
      </c>
      <c r="H240" s="25">
        <v>80.8</v>
      </c>
      <c r="I240" s="25">
        <v>78.099999999999994</v>
      </c>
      <c r="J240" t="s">
        <v>30</v>
      </c>
      <c r="M240" s="33">
        <v>0</v>
      </c>
      <c r="N240" s="33">
        <v>0</v>
      </c>
      <c r="R240" s="29" t="str">
        <f>VLOOKUP(WNBA_TeamSeasons[[#This Row],[Team]],$Y$3:$Y$17,1,FALSE)</f>
        <v>Washington Mystics</v>
      </c>
    </row>
    <row r="241" spans="1:18" x14ac:dyDescent="0.25">
      <c r="A241" s="27">
        <v>2006</v>
      </c>
      <c r="B241" t="s">
        <v>723</v>
      </c>
      <c r="C241" t="s">
        <v>729</v>
      </c>
      <c r="D241" s="27">
        <v>11</v>
      </c>
      <c r="E241" s="27">
        <v>23</v>
      </c>
      <c r="F241" s="24">
        <v>0.32400000000000001</v>
      </c>
      <c r="G241" s="26">
        <v>15</v>
      </c>
      <c r="H241" s="25">
        <v>72.2</v>
      </c>
      <c r="I241" s="25">
        <v>75.599999999999994</v>
      </c>
      <c r="M241" s="33">
        <v>0</v>
      </c>
      <c r="N241" s="33">
        <v>0</v>
      </c>
      <c r="R241" s="29" t="str">
        <f>WNBA_TeamSeasons[[#This Row],[Team]]</f>
        <v>Charlotte Sting</v>
      </c>
    </row>
    <row r="242" spans="1:18" x14ac:dyDescent="0.25">
      <c r="A242" s="27">
        <v>2006</v>
      </c>
      <c r="B242" t="s">
        <v>711</v>
      </c>
      <c r="C242" t="s">
        <v>729</v>
      </c>
      <c r="D242" s="27">
        <v>11</v>
      </c>
      <c r="E242" s="27">
        <v>23</v>
      </c>
      <c r="F242" s="24">
        <v>0.32400000000000001</v>
      </c>
      <c r="G242" s="26">
        <v>15</v>
      </c>
      <c r="H242" s="25">
        <v>67.2</v>
      </c>
      <c r="I242" s="25">
        <v>75.400000000000006</v>
      </c>
      <c r="M242" s="33">
        <v>0</v>
      </c>
      <c r="N242" s="33">
        <v>0</v>
      </c>
      <c r="R242" s="29" t="str">
        <f>VLOOKUP(WNBA_TeamSeasons[[#This Row],[Team]],$Y$3:$Y$17,1,FALSE)</f>
        <v>New York Liberty</v>
      </c>
    </row>
    <row r="243" spans="1:18" x14ac:dyDescent="0.25">
      <c r="A243" s="27">
        <v>2006</v>
      </c>
      <c r="B243" t="s">
        <v>714</v>
      </c>
      <c r="C243" t="s">
        <v>729</v>
      </c>
      <c r="D243" s="27">
        <v>5</v>
      </c>
      <c r="E243" s="27">
        <v>29</v>
      </c>
      <c r="F243" s="24">
        <v>0.14699999999999999</v>
      </c>
      <c r="G243" s="26">
        <v>21</v>
      </c>
      <c r="H243" s="25">
        <v>68.3</v>
      </c>
      <c r="I243" s="25">
        <v>79</v>
      </c>
      <c r="M243" s="33">
        <v>0</v>
      </c>
      <c r="N243" s="33">
        <v>0</v>
      </c>
      <c r="R243" s="29" t="str">
        <f>VLOOKUP(WNBA_TeamSeasons[[#This Row],[Team]],$Y$3:$Y$17,1,FALSE)</f>
        <v>Chicago Sky</v>
      </c>
    </row>
    <row r="244" spans="1:18" x14ac:dyDescent="0.25">
      <c r="A244" s="27">
        <v>2006</v>
      </c>
      <c r="B244" t="s">
        <v>717</v>
      </c>
      <c r="C244" t="s">
        <v>730</v>
      </c>
      <c r="D244" s="27">
        <v>25</v>
      </c>
      <c r="E244" s="27">
        <v>9</v>
      </c>
      <c r="F244" s="24">
        <v>0.73499999999999999</v>
      </c>
      <c r="G244" s="26">
        <v>0</v>
      </c>
      <c r="H244" s="25">
        <v>75.7</v>
      </c>
      <c r="I244" s="25">
        <v>72.8</v>
      </c>
      <c r="J244" t="s">
        <v>30</v>
      </c>
      <c r="K244" s="29" t="s">
        <v>30</v>
      </c>
      <c r="M244" s="33">
        <v>0</v>
      </c>
      <c r="N244" s="33">
        <v>0</v>
      </c>
      <c r="R244" s="29" t="str">
        <f>VLOOKUP(WNBA_TeamSeasons[[#This Row],[Team]],$Y$3:$Y$17,1,FALSE)</f>
        <v>Los Angeles Sparks</v>
      </c>
    </row>
    <row r="245" spans="1:18" x14ac:dyDescent="0.25">
      <c r="A245" s="27">
        <v>2006</v>
      </c>
      <c r="B245" t="s">
        <v>722</v>
      </c>
      <c r="C245" t="s">
        <v>730</v>
      </c>
      <c r="D245" s="27">
        <v>21</v>
      </c>
      <c r="E245" s="27">
        <v>13</v>
      </c>
      <c r="F245" s="24">
        <v>0.61799999999999999</v>
      </c>
      <c r="G245" s="26">
        <v>4</v>
      </c>
      <c r="H245" s="25">
        <v>74.599999999999994</v>
      </c>
      <c r="I245" s="25">
        <v>70.7</v>
      </c>
      <c r="J245" t="s">
        <v>30</v>
      </c>
      <c r="M245" s="33">
        <v>2</v>
      </c>
      <c r="N245" s="33">
        <v>3</v>
      </c>
      <c r="O245" s="29" t="s">
        <v>30</v>
      </c>
      <c r="P245" s="29" t="s">
        <v>30</v>
      </c>
      <c r="R245" s="29" t="str">
        <f>WNBA_TeamSeasons[[#This Row],[Team]]</f>
        <v>Sacramento Monarchs</v>
      </c>
    </row>
    <row r="246" spans="1:18" x14ac:dyDescent="0.25">
      <c r="A246" s="27">
        <v>2006</v>
      </c>
      <c r="B246" t="s">
        <v>724</v>
      </c>
      <c r="C246" t="s">
        <v>730</v>
      </c>
      <c r="D246" s="27">
        <v>18</v>
      </c>
      <c r="E246" s="27">
        <v>16</v>
      </c>
      <c r="F246" s="24">
        <v>0.52900000000000003</v>
      </c>
      <c r="G246" s="26">
        <v>7</v>
      </c>
      <c r="H246" s="25">
        <v>73.7</v>
      </c>
      <c r="I246" s="25">
        <v>72</v>
      </c>
      <c r="J246" t="s">
        <v>30</v>
      </c>
      <c r="M246" s="33">
        <v>0</v>
      </c>
      <c r="N246" s="33">
        <v>0</v>
      </c>
      <c r="R246" s="29" t="str">
        <f>WNBA_TeamSeasons[[#This Row],[Team]]</f>
        <v>Houston Comets</v>
      </c>
    </row>
    <row r="247" spans="1:18" x14ac:dyDescent="0.25">
      <c r="A247" s="27">
        <v>2006</v>
      </c>
      <c r="B247" t="s">
        <v>715</v>
      </c>
      <c r="C247" t="s">
        <v>730</v>
      </c>
      <c r="D247" s="27">
        <v>18</v>
      </c>
      <c r="E247" s="27">
        <v>16</v>
      </c>
      <c r="F247" s="24">
        <v>0.52900000000000003</v>
      </c>
      <c r="G247" s="26">
        <v>7</v>
      </c>
      <c r="H247" s="25">
        <v>77.8</v>
      </c>
      <c r="I247" s="25">
        <v>75.7</v>
      </c>
      <c r="J247" t="s">
        <v>30</v>
      </c>
      <c r="M247" s="33">
        <v>0</v>
      </c>
      <c r="N247" s="33">
        <v>0</v>
      </c>
      <c r="R247" s="29" t="str">
        <f>VLOOKUP(WNBA_TeamSeasons[[#This Row],[Team]],$Y$3:$Y$17,1,FALSE)</f>
        <v>Seattle Storm</v>
      </c>
    </row>
    <row r="248" spans="1:18" x14ac:dyDescent="0.25">
      <c r="A248" s="27">
        <v>2006</v>
      </c>
      <c r="B248" t="s">
        <v>710</v>
      </c>
      <c r="C248" t="s">
        <v>730</v>
      </c>
      <c r="D248" s="27">
        <v>18</v>
      </c>
      <c r="E248" s="27">
        <v>16</v>
      </c>
      <c r="F248" s="24">
        <v>0.52900000000000003</v>
      </c>
      <c r="G248" s="26">
        <v>7</v>
      </c>
      <c r="H248" s="25">
        <v>84.3</v>
      </c>
      <c r="I248" s="25">
        <v>82.1</v>
      </c>
      <c r="M248" s="33">
        <v>0</v>
      </c>
      <c r="N248" s="33">
        <v>0</v>
      </c>
      <c r="R248" s="29" t="str">
        <f>VLOOKUP(WNBA_TeamSeasons[[#This Row],[Team]],$Y$3:$Y$17,1,FALSE)</f>
        <v>Phoenix Mercury</v>
      </c>
    </row>
    <row r="249" spans="1:18" x14ac:dyDescent="0.25">
      <c r="A249" s="27">
        <v>2006</v>
      </c>
      <c r="B249" t="s">
        <v>721</v>
      </c>
      <c r="C249" t="s">
        <v>730</v>
      </c>
      <c r="D249" s="27">
        <v>13</v>
      </c>
      <c r="E249" s="27">
        <v>21</v>
      </c>
      <c r="F249" s="24">
        <v>0.38200000000000001</v>
      </c>
      <c r="G249" s="26">
        <v>12</v>
      </c>
      <c r="H249" s="25">
        <v>74.2</v>
      </c>
      <c r="I249" s="25">
        <v>76.599999999999994</v>
      </c>
      <c r="M249" s="33">
        <v>0</v>
      </c>
      <c r="N249" s="33">
        <v>0</v>
      </c>
      <c r="R249" s="29" t="s">
        <v>709</v>
      </c>
    </row>
    <row r="250" spans="1:18" x14ac:dyDescent="0.25">
      <c r="A250" s="27">
        <v>2006</v>
      </c>
      <c r="B250" t="s">
        <v>712</v>
      </c>
      <c r="C250" t="s">
        <v>730</v>
      </c>
      <c r="D250" s="27">
        <v>10</v>
      </c>
      <c r="E250" s="27">
        <v>24</v>
      </c>
      <c r="F250" s="24">
        <v>0.29399999999999998</v>
      </c>
      <c r="G250" s="26">
        <v>15</v>
      </c>
      <c r="H250" s="25">
        <v>74.2</v>
      </c>
      <c r="I250" s="25">
        <v>80.400000000000006</v>
      </c>
      <c r="M250" s="33">
        <v>0</v>
      </c>
      <c r="N250" s="33">
        <v>0</v>
      </c>
      <c r="R250" s="29" t="str">
        <f>VLOOKUP(WNBA_TeamSeasons[[#This Row],[Team]],$Y$3:$Y$17,1,FALSE)</f>
        <v>Minnesota Lynx</v>
      </c>
    </row>
    <row r="251" spans="1:18" x14ac:dyDescent="0.25">
      <c r="A251" s="27">
        <v>2005</v>
      </c>
      <c r="B251" t="s">
        <v>713</v>
      </c>
      <c r="C251" t="s">
        <v>729</v>
      </c>
      <c r="D251" s="27">
        <v>26</v>
      </c>
      <c r="E251" s="27">
        <v>8</v>
      </c>
      <c r="F251" s="24">
        <v>0.76500000000000001</v>
      </c>
      <c r="G251" s="26">
        <v>0</v>
      </c>
      <c r="H251" s="25">
        <v>72.8</v>
      </c>
      <c r="I251" s="25">
        <v>66</v>
      </c>
      <c r="J251" t="s">
        <v>30</v>
      </c>
      <c r="K251" s="29" t="s">
        <v>30</v>
      </c>
      <c r="L251" s="29" t="s">
        <v>30</v>
      </c>
      <c r="M251" s="33">
        <v>1</v>
      </c>
      <c r="N251" s="33">
        <v>3</v>
      </c>
      <c r="O251" s="29" t="s">
        <v>30</v>
      </c>
      <c r="P251" s="29" t="s">
        <v>30</v>
      </c>
      <c r="R251" s="29" t="str">
        <f>VLOOKUP(WNBA_TeamSeasons[[#This Row],[Team]],$Y$3:$Y$17,1,FALSE)</f>
        <v>Connecticut Sun</v>
      </c>
    </row>
    <row r="252" spans="1:18" x14ac:dyDescent="0.25">
      <c r="A252" s="27">
        <v>2005</v>
      </c>
      <c r="B252" t="s">
        <v>718</v>
      </c>
      <c r="C252" t="s">
        <v>729</v>
      </c>
      <c r="D252" s="27">
        <v>21</v>
      </c>
      <c r="E252" s="27">
        <v>13</v>
      </c>
      <c r="F252" s="24">
        <v>0.61799999999999999</v>
      </c>
      <c r="G252" s="26">
        <v>5</v>
      </c>
      <c r="H252" s="25">
        <v>63.8</v>
      </c>
      <c r="I252" s="25">
        <v>62.7</v>
      </c>
      <c r="J252" t="s">
        <v>30</v>
      </c>
      <c r="M252" s="33">
        <v>0</v>
      </c>
      <c r="N252" s="33">
        <v>0</v>
      </c>
      <c r="R252" s="29" t="str">
        <f>VLOOKUP(WNBA_TeamSeasons[[#This Row],[Team]],$Y$3:$Y$17,1,FALSE)</f>
        <v>Indiana Fever</v>
      </c>
    </row>
    <row r="253" spans="1:18" x14ac:dyDescent="0.25">
      <c r="A253" s="27">
        <v>2005</v>
      </c>
      <c r="B253" t="s">
        <v>711</v>
      </c>
      <c r="C253" t="s">
        <v>729</v>
      </c>
      <c r="D253" s="27">
        <v>18</v>
      </c>
      <c r="E253" s="27">
        <v>16</v>
      </c>
      <c r="F253" s="24">
        <v>0.52900000000000003</v>
      </c>
      <c r="G253" s="26">
        <v>8</v>
      </c>
      <c r="H253" s="25">
        <v>68.099999999999994</v>
      </c>
      <c r="I253" s="25">
        <v>67.2</v>
      </c>
      <c r="J253" t="s">
        <v>30</v>
      </c>
      <c r="M253" s="33">
        <v>0</v>
      </c>
      <c r="N253" s="33">
        <v>0</v>
      </c>
      <c r="R253" s="29" t="str">
        <f>VLOOKUP(WNBA_TeamSeasons[[#This Row],[Team]],$Y$3:$Y$17,1,FALSE)</f>
        <v>New York Liberty</v>
      </c>
    </row>
    <row r="254" spans="1:18" x14ac:dyDescent="0.25">
      <c r="A254" s="27">
        <v>2005</v>
      </c>
      <c r="B254" t="s">
        <v>720</v>
      </c>
      <c r="C254" t="s">
        <v>729</v>
      </c>
      <c r="D254" s="27">
        <v>16</v>
      </c>
      <c r="E254" s="27">
        <v>18</v>
      </c>
      <c r="F254" s="24">
        <v>0.47099999999999997</v>
      </c>
      <c r="G254" s="26">
        <v>10</v>
      </c>
      <c r="H254" s="25">
        <v>66.099999999999994</v>
      </c>
      <c r="I254" s="25">
        <v>67.3</v>
      </c>
      <c r="J254" t="s">
        <v>30</v>
      </c>
      <c r="M254" s="33">
        <v>0</v>
      </c>
      <c r="N254" s="33">
        <v>0</v>
      </c>
      <c r="R254" s="29" t="s">
        <v>732</v>
      </c>
    </row>
    <row r="255" spans="1:18" x14ac:dyDescent="0.25">
      <c r="A255" s="27">
        <v>2005</v>
      </c>
      <c r="B255" t="s">
        <v>716</v>
      </c>
      <c r="C255" t="s">
        <v>729</v>
      </c>
      <c r="D255" s="27">
        <v>16</v>
      </c>
      <c r="E255" s="27">
        <v>18</v>
      </c>
      <c r="F255" s="24">
        <v>0.47099999999999997</v>
      </c>
      <c r="G255" s="26">
        <v>10</v>
      </c>
      <c r="H255" s="25">
        <v>66.599999999999994</v>
      </c>
      <c r="I255" s="25">
        <v>67.8</v>
      </c>
      <c r="M255" s="33">
        <v>0</v>
      </c>
      <c r="N255" s="33">
        <v>0</v>
      </c>
      <c r="R255" s="29" t="str">
        <f>VLOOKUP(WNBA_TeamSeasons[[#This Row],[Team]],$Y$3:$Y$17,1,FALSE)</f>
        <v>Washington Mystics</v>
      </c>
    </row>
    <row r="256" spans="1:18" x14ac:dyDescent="0.25">
      <c r="A256" s="27">
        <v>2005</v>
      </c>
      <c r="B256" t="s">
        <v>723</v>
      </c>
      <c r="C256" t="s">
        <v>729</v>
      </c>
      <c r="D256" s="27">
        <v>6</v>
      </c>
      <c r="E256" s="27">
        <v>28</v>
      </c>
      <c r="F256" s="24">
        <v>0.17599999999999999</v>
      </c>
      <c r="G256" s="26">
        <v>20</v>
      </c>
      <c r="H256" s="25">
        <v>61.6</v>
      </c>
      <c r="I256" s="25">
        <v>68.7</v>
      </c>
      <c r="M256" s="33">
        <v>0</v>
      </c>
      <c r="N256" s="33">
        <v>0</v>
      </c>
      <c r="R256" s="29" t="str">
        <f>WNBA_TeamSeasons[[#This Row],[Team]]</f>
        <v>Charlotte Sting</v>
      </c>
    </row>
    <row r="257" spans="1:18" x14ac:dyDescent="0.25">
      <c r="A257" s="27">
        <v>2005</v>
      </c>
      <c r="B257" t="s">
        <v>722</v>
      </c>
      <c r="C257" t="s">
        <v>730</v>
      </c>
      <c r="D257" s="27">
        <v>25</v>
      </c>
      <c r="E257" s="27">
        <v>9</v>
      </c>
      <c r="F257" s="24">
        <v>0.73499999999999999</v>
      </c>
      <c r="G257" s="26">
        <v>0</v>
      </c>
      <c r="H257" s="25">
        <v>68.5</v>
      </c>
      <c r="I257" s="25">
        <v>61.6</v>
      </c>
      <c r="J257" t="s">
        <v>30</v>
      </c>
      <c r="K257" s="29" t="s">
        <v>30</v>
      </c>
      <c r="M257" s="33">
        <v>3</v>
      </c>
      <c r="N257" s="33">
        <v>1</v>
      </c>
      <c r="O257" s="29" t="s">
        <v>30</v>
      </c>
      <c r="P257" s="29" t="s">
        <v>30</v>
      </c>
      <c r="Q257" s="29" t="s">
        <v>30</v>
      </c>
      <c r="R257" s="29" t="str">
        <f>WNBA_TeamSeasons[[#This Row],[Team]]</f>
        <v>Sacramento Monarchs</v>
      </c>
    </row>
    <row r="258" spans="1:18" x14ac:dyDescent="0.25">
      <c r="A258" s="27">
        <v>2005</v>
      </c>
      <c r="B258" t="s">
        <v>715</v>
      </c>
      <c r="C258" t="s">
        <v>730</v>
      </c>
      <c r="D258" s="27">
        <v>20</v>
      </c>
      <c r="E258" s="27">
        <v>14</v>
      </c>
      <c r="F258" s="24">
        <v>0.58799999999999997</v>
      </c>
      <c r="G258" s="26">
        <v>5</v>
      </c>
      <c r="H258" s="25">
        <v>73.5</v>
      </c>
      <c r="I258" s="25">
        <v>70.8</v>
      </c>
      <c r="J258" t="s">
        <v>30</v>
      </c>
      <c r="M258" s="33">
        <v>0</v>
      </c>
      <c r="N258" s="33">
        <v>0</v>
      </c>
      <c r="R258" s="29" t="str">
        <f>VLOOKUP(WNBA_TeamSeasons[[#This Row],[Team]],$Y$3:$Y$17,1,FALSE)</f>
        <v>Seattle Storm</v>
      </c>
    </row>
    <row r="259" spans="1:18" x14ac:dyDescent="0.25">
      <c r="A259" s="27">
        <v>2005</v>
      </c>
      <c r="B259" t="s">
        <v>724</v>
      </c>
      <c r="C259" t="s">
        <v>730</v>
      </c>
      <c r="D259" s="27">
        <v>19</v>
      </c>
      <c r="E259" s="27">
        <v>15</v>
      </c>
      <c r="F259" s="24">
        <v>0.55900000000000005</v>
      </c>
      <c r="G259" s="26">
        <v>6</v>
      </c>
      <c r="H259" s="25">
        <v>67.900000000000006</v>
      </c>
      <c r="I259" s="25">
        <v>66.599999999999994</v>
      </c>
      <c r="J259" t="s">
        <v>30</v>
      </c>
      <c r="M259" s="33">
        <v>0</v>
      </c>
      <c r="N259" s="33">
        <v>0</v>
      </c>
      <c r="R259" s="29" t="str">
        <f>WNBA_TeamSeasons[[#This Row],[Team]]</f>
        <v>Houston Comets</v>
      </c>
    </row>
    <row r="260" spans="1:18" x14ac:dyDescent="0.25">
      <c r="A260" s="27">
        <v>2005</v>
      </c>
      <c r="B260" t="s">
        <v>717</v>
      </c>
      <c r="C260" t="s">
        <v>730</v>
      </c>
      <c r="D260" s="27">
        <v>17</v>
      </c>
      <c r="E260" s="27">
        <v>17</v>
      </c>
      <c r="F260" s="24">
        <v>0.5</v>
      </c>
      <c r="G260" s="26">
        <v>8</v>
      </c>
      <c r="H260" s="25">
        <v>68.400000000000006</v>
      </c>
      <c r="I260" s="25">
        <v>69</v>
      </c>
      <c r="J260" t="s">
        <v>30</v>
      </c>
      <c r="M260" s="33">
        <v>0</v>
      </c>
      <c r="N260" s="33">
        <v>0</v>
      </c>
      <c r="R260" s="29" t="str">
        <f>VLOOKUP(WNBA_TeamSeasons[[#This Row],[Team]],$Y$3:$Y$17,1,FALSE)</f>
        <v>Los Angeles Sparks</v>
      </c>
    </row>
    <row r="261" spans="1:18" x14ac:dyDescent="0.25">
      <c r="A261" s="27">
        <v>2005</v>
      </c>
      <c r="B261" t="s">
        <v>710</v>
      </c>
      <c r="C261" t="s">
        <v>730</v>
      </c>
      <c r="D261" s="27">
        <v>16</v>
      </c>
      <c r="E261" s="27">
        <v>18</v>
      </c>
      <c r="F261" s="24">
        <v>0.47099999999999997</v>
      </c>
      <c r="G261" s="26">
        <v>9</v>
      </c>
      <c r="H261" s="25">
        <v>69.400000000000006</v>
      </c>
      <c r="I261" s="25">
        <v>69.2</v>
      </c>
      <c r="M261" s="33">
        <v>0</v>
      </c>
      <c r="N261" s="33">
        <v>0</v>
      </c>
      <c r="R261" s="29" t="str">
        <f>VLOOKUP(WNBA_TeamSeasons[[#This Row],[Team]],$Y$3:$Y$17,1,FALSE)</f>
        <v>Phoenix Mercury</v>
      </c>
    </row>
    <row r="262" spans="1:18" x14ac:dyDescent="0.25">
      <c r="A262" s="27">
        <v>2005</v>
      </c>
      <c r="B262" t="s">
        <v>712</v>
      </c>
      <c r="C262" t="s">
        <v>730</v>
      </c>
      <c r="D262" s="27">
        <v>14</v>
      </c>
      <c r="E262" s="27">
        <v>20</v>
      </c>
      <c r="F262" s="24">
        <v>0.41199999999999998</v>
      </c>
      <c r="G262" s="26">
        <v>11</v>
      </c>
      <c r="H262" s="25">
        <v>65</v>
      </c>
      <c r="I262" s="25">
        <v>67.3</v>
      </c>
      <c r="M262" s="33">
        <v>0</v>
      </c>
      <c r="N262" s="33">
        <v>0</v>
      </c>
      <c r="R262" s="29" t="str">
        <f>VLOOKUP(WNBA_TeamSeasons[[#This Row],[Team]],$Y$3:$Y$17,1,FALSE)</f>
        <v>Minnesota Lynx</v>
      </c>
    </row>
    <row r="263" spans="1:18" x14ac:dyDescent="0.25">
      <c r="A263" s="27">
        <v>2005</v>
      </c>
      <c r="B263" t="s">
        <v>721</v>
      </c>
      <c r="C263" t="s">
        <v>730</v>
      </c>
      <c r="D263" s="27">
        <v>7</v>
      </c>
      <c r="E263" s="27">
        <v>27</v>
      </c>
      <c r="F263" s="24">
        <v>0.20599999999999999</v>
      </c>
      <c r="G263" s="26">
        <v>18</v>
      </c>
      <c r="H263" s="25">
        <v>63</v>
      </c>
      <c r="I263" s="25">
        <v>70.599999999999994</v>
      </c>
      <c r="M263" s="33">
        <v>0</v>
      </c>
      <c r="N263" s="33">
        <v>0</v>
      </c>
      <c r="R263" s="29" t="s">
        <v>709</v>
      </c>
    </row>
    <row r="264" spans="1:18" x14ac:dyDescent="0.25">
      <c r="A264" s="27">
        <v>2004</v>
      </c>
      <c r="B264" t="s">
        <v>713</v>
      </c>
      <c r="C264" t="s">
        <v>729</v>
      </c>
      <c r="D264" s="27">
        <v>18</v>
      </c>
      <c r="E264" s="27">
        <v>16</v>
      </c>
      <c r="F264" s="24">
        <v>0.52900000000000003</v>
      </c>
      <c r="G264" s="26">
        <v>0</v>
      </c>
      <c r="H264" s="25">
        <v>68.7</v>
      </c>
      <c r="I264" s="25">
        <v>67.8</v>
      </c>
      <c r="J264" t="s">
        <v>30</v>
      </c>
      <c r="K264" s="29" t="s">
        <v>30</v>
      </c>
      <c r="M264" s="33">
        <v>1</v>
      </c>
      <c r="N264" s="33">
        <v>2</v>
      </c>
      <c r="O264" s="29" t="s">
        <v>30</v>
      </c>
      <c r="P264" s="29" t="s">
        <v>30</v>
      </c>
      <c r="R264" s="29" t="str">
        <f>VLOOKUP(WNBA_TeamSeasons[[#This Row],[Team]],$Y$3:$Y$17,1,FALSE)</f>
        <v>Connecticut Sun</v>
      </c>
    </row>
    <row r="265" spans="1:18" x14ac:dyDescent="0.25">
      <c r="A265" s="27">
        <v>2004</v>
      </c>
      <c r="B265" t="s">
        <v>711</v>
      </c>
      <c r="C265" t="s">
        <v>729</v>
      </c>
      <c r="D265" s="27">
        <v>18</v>
      </c>
      <c r="E265" s="27">
        <v>16</v>
      </c>
      <c r="F265" s="24">
        <v>0.52900000000000003</v>
      </c>
      <c r="G265" s="26">
        <v>0</v>
      </c>
      <c r="H265" s="25">
        <v>66.2</v>
      </c>
      <c r="I265" s="25">
        <v>67.599999999999994</v>
      </c>
      <c r="J265" t="s">
        <v>30</v>
      </c>
      <c r="K265" s="29" t="s">
        <v>30</v>
      </c>
      <c r="M265" s="33">
        <v>0</v>
      </c>
      <c r="N265" s="33">
        <v>0</v>
      </c>
      <c r="R265" s="29" t="str">
        <f>VLOOKUP(WNBA_TeamSeasons[[#This Row],[Team]],$Y$3:$Y$17,1,FALSE)</f>
        <v>New York Liberty</v>
      </c>
    </row>
    <row r="266" spans="1:18" x14ac:dyDescent="0.25">
      <c r="A266" s="27">
        <v>2004</v>
      </c>
      <c r="B266" t="s">
        <v>720</v>
      </c>
      <c r="C266" t="s">
        <v>729</v>
      </c>
      <c r="D266" s="27">
        <v>17</v>
      </c>
      <c r="E266" s="27">
        <v>17</v>
      </c>
      <c r="F266" s="24">
        <v>0.5</v>
      </c>
      <c r="G266" s="26">
        <v>1</v>
      </c>
      <c r="H266" s="25">
        <v>69.599999999999994</v>
      </c>
      <c r="I266" s="25">
        <v>70</v>
      </c>
      <c r="J266" t="s">
        <v>30</v>
      </c>
      <c r="M266" s="33">
        <v>0</v>
      </c>
      <c r="N266" s="33">
        <v>0</v>
      </c>
      <c r="R266" s="29" t="s">
        <v>732</v>
      </c>
    </row>
    <row r="267" spans="1:18" x14ac:dyDescent="0.25">
      <c r="A267" s="27">
        <v>2004</v>
      </c>
      <c r="B267" t="s">
        <v>716</v>
      </c>
      <c r="C267" t="s">
        <v>729</v>
      </c>
      <c r="D267" s="27">
        <v>17</v>
      </c>
      <c r="E267" s="27">
        <v>17</v>
      </c>
      <c r="F267" s="24">
        <v>0.5</v>
      </c>
      <c r="G267" s="26">
        <v>1</v>
      </c>
      <c r="H267" s="25">
        <v>68.400000000000006</v>
      </c>
      <c r="I267" s="25">
        <v>70.099999999999994</v>
      </c>
      <c r="J267" t="s">
        <v>30</v>
      </c>
      <c r="M267" s="33">
        <v>0</v>
      </c>
      <c r="N267" s="33">
        <v>0</v>
      </c>
      <c r="R267" s="29" t="str">
        <f>VLOOKUP(WNBA_TeamSeasons[[#This Row],[Team]],$Y$3:$Y$17,1,FALSE)</f>
        <v>Washington Mystics</v>
      </c>
    </row>
    <row r="268" spans="1:18" x14ac:dyDescent="0.25">
      <c r="A268" s="27">
        <v>2004</v>
      </c>
      <c r="B268" t="s">
        <v>723</v>
      </c>
      <c r="C268" t="s">
        <v>729</v>
      </c>
      <c r="D268" s="27">
        <v>16</v>
      </c>
      <c r="E268" s="27">
        <v>18</v>
      </c>
      <c r="F268" s="24">
        <v>0.47099999999999997</v>
      </c>
      <c r="G268" s="26">
        <v>2</v>
      </c>
      <c r="H268" s="25">
        <v>61.5</v>
      </c>
      <c r="I268" s="25">
        <v>63.8</v>
      </c>
      <c r="M268" s="33">
        <v>0</v>
      </c>
      <c r="N268" s="33">
        <v>0</v>
      </c>
      <c r="R268" s="29" t="str">
        <f>WNBA_TeamSeasons[[#This Row],[Team]]</f>
        <v>Charlotte Sting</v>
      </c>
    </row>
    <row r="269" spans="1:18" x14ac:dyDescent="0.25">
      <c r="A269" s="27">
        <v>2004</v>
      </c>
      <c r="B269" t="s">
        <v>718</v>
      </c>
      <c r="C269" t="s">
        <v>729</v>
      </c>
      <c r="D269" s="27">
        <v>15</v>
      </c>
      <c r="E269" s="27">
        <v>19</v>
      </c>
      <c r="F269" s="24">
        <v>0.441</v>
      </c>
      <c r="G269" s="26">
        <v>3</v>
      </c>
      <c r="H269" s="25">
        <v>64.599999999999994</v>
      </c>
      <c r="I269" s="25">
        <v>66</v>
      </c>
      <c r="M269" s="33">
        <v>0</v>
      </c>
      <c r="N269" s="33">
        <v>0</v>
      </c>
      <c r="R269" s="29" t="str">
        <f>VLOOKUP(WNBA_TeamSeasons[[#This Row],[Team]],$Y$3:$Y$17,1,FALSE)</f>
        <v>Indiana Fever</v>
      </c>
    </row>
    <row r="270" spans="1:18" x14ac:dyDescent="0.25">
      <c r="A270" s="27">
        <v>2004</v>
      </c>
      <c r="B270" t="s">
        <v>717</v>
      </c>
      <c r="C270" t="s">
        <v>730</v>
      </c>
      <c r="D270" s="27">
        <v>25</v>
      </c>
      <c r="E270" s="27">
        <v>9</v>
      </c>
      <c r="F270" s="24">
        <v>0.73499999999999999</v>
      </c>
      <c r="G270" s="26">
        <v>0</v>
      </c>
      <c r="H270" s="25">
        <v>73.400000000000006</v>
      </c>
      <c r="I270" s="25">
        <v>69.400000000000006</v>
      </c>
      <c r="J270" t="s">
        <v>30</v>
      </c>
      <c r="K270" s="29" t="s">
        <v>30</v>
      </c>
      <c r="L270" s="29" t="s">
        <v>30</v>
      </c>
      <c r="M270" s="33">
        <v>0</v>
      </c>
      <c r="N270" s="33">
        <v>0</v>
      </c>
      <c r="R270" s="29" t="str">
        <f>VLOOKUP(WNBA_TeamSeasons[[#This Row],[Team]],$Y$3:$Y$17,1,FALSE)</f>
        <v>Los Angeles Sparks</v>
      </c>
    </row>
    <row r="271" spans="1:18" x14ac:dyDescent="0.25">
      <c r="A271" s="27">
        <v>2004</v>
      </c>
      <c r="B271" t="s">
        <v>715</v>
      </c>
      <c r="C271" t="s">
        <v>730</v>
      </c>
      <c r="D271" s="27">
        <v>20</v>
      </c>
      <c r="E271" s="27">
        <v>14</v>
      </c>
      <c r="F271" s="24">
        <v>0.58799999999999997</v>
      </c>
      <c r="G271" s="26">
        <v>5</v>
      </c>
      <c r="H271" s="25">
        <v>71.7</v>
      </c>
      <c r="I271" s="25">
        <v>66.599999999999994</v>
      </c>
      <c r="J271" t="s">
        <v>30</v>
      </c>
      <c r="M271" s="33">
        <v>2</v>
      </c>
      <c r="N271" s="33">
        <v>1</v>
      </c>
      <c r="O271" s="29" t="s">
        <v>30</v>
      </c>
      <c r="P271" s="29" t="s">
        <v>30</v>
      </c>
      <c r="Q271" s="29" t="s">
        <v>30</v>
      </c>
      <c r="R271" s="29" t="str">
        <f>VLOOKUP(WNBA_TeamSeasons[[#This Row],[Team]],$Y$3:$Y$17,1,FALSE)</f>
        <v>Seattle Storm</v>
      </c>
    </row>
    <row r="272" spans="1:18" x14ac:dyDescent="0.25">
      <c r="A272" s="27">
        <v>2004</v>
      </c>
      <c r="B272" t="s">
        <v>712</v>
      </c>
      <c r="C272" t="s">
        <v>730</v>
      </c>
      <c r="D272" s="27">
        <v>18</v>
      </c>
      <c r="E272" s="27">
        <v>16</v>
      </c>
      <c r="F272" s="24">
        <v>0.52900000000000003</v>
      </c>
      <c r="G272" s="26">
        <v>7</v>
      </c>
      <c r="H272" s="25">
        <v>63.7</v>
      </c>
      <c r="I272" s="25">
        <v>64.400000000000006</v>
      </c>
      <c r="J272" t="s">
        <v>30</v>
      </c>
      <c r="M272" s="33">
        <v>0</v>
      </c>
      <c r="N272" s="33">
        <v>0</v>
      </c>
      <c r="R272" s="29" t="str">
        <f>VLOOKUP(WNBA_TeamSeasons[[#This Row],[Team]],$Y$3:$Y$17,1,FALSE)</f>
        <v>Minnesota Lynx</v>
      </c>
    </row>
    <row r="273" spans="1:18" x14ac:dyDescent="0.25">
      <c r="A273" s="27">
        <v>2004</v>
      </c>
      <c r="B273" t="s">
        <v>722</v>
      </c>
      <c r="C273" t="s">
        <v>730</v>
      </c>
      <c r="D273" s="27">
        <v>18</v>
      </c>
      <c r="E273" s="27">
        <v>16</v>
      </c>
      <c r="F273" s="24">
        <v>0.52900000000000003</v>
      </c>
      <c r="G273" s="26">
        <v>7</v>
      </c>
      <c r="H273" s="25">
        <v>68</v>
      </c>
      <c r="I273" s="25">
        <v>65.900000000000006</v>
      </c>
      <c r="J273" t="s">
        <v>30</v>
      </c>
      <c r="M273" s="33">
        <v>0</v>
      </c>
      <c r="N273" s="33">
        <v>0</v>
      </c>
      <c r="R273" s="29" t="str">
        <f>WNBA_TeamSeasons[[#This Row],[Team]]</f>
        <v>Sacramento Monarchs</v>
      </c>
    </row>
    <row r="274" spans="1:18" x14ac:dyDescent="0.25">
      <c r="A274" s="27">
        <v>2004</v>
      </c>
      <c r="B274" t="s">
        <v>710</v>
      </c>
      <c r="C274" t="s">
        <v>730</v>
      </c>
      <c r="D274" s="27">
        <v>17</v>
      </c>
      <c r="E274" s="27">
        <v>17</v>
      </c>
      <c r="F274" s="24">
        <v>0.5</v>
      </c>
      <c r="G274" s="26">
        <v>8</v>
      </c>
      <c r="H274" s="25">
        <v>67.599999999999994</v>
      </c>
      <c r="I274" s="25">
        <v>65.7</v>
      </c>
      <c r="M274" s="33">
        <v>0</v>
      </c>
      <c r="N274" s="33">
        <v>0</v>
      </c>
      <c r="R274" s="29" t="str">
        <f>VLOOKUP(WNBA_TeamSeasons[[#This Row],[Team]],$Y$3:$Y$17,1,FALSE)</f>
        <v>Phoenix Mercury</v>
      </c>
    </row>
    <row r="275" spans="1:18" x14ac:dyDescent="0.25">
      <c r="A275" s="27">
        <v>2004</v>
      </c>
      <c r="B275" t="s">
        <v>724</v>
      </c>
      <c r="C275" t="s">
        <v>730</v>
      </c>
      <c r="D275" s="27">
        <v>13</v>
      </c>
      <c r="E275" s="27">
        <v>21</v>
      </c>
      <c r="F275" s="24">
        <v>0.38200000000000001</v>
      </c>
      <c r="G275" s="26">
        <v>12</v>
      </c>
      <c r="H275" s="25">
        <v>64</v>
      </c>
      <c r="I275" s="25">
        <v>65</v>
      </c>
      <c r="M275" s="33">
        <v>0</v>
      </c>
      <c r="N275" s="33">
        <v>0</v>
      </c>
      <c r="R275" s="29" t="str">
        <f>WNBA_TeamSeasons[[#This Row],[Team]]</f>
        <v>Houston Comets</v>
      </c>
    </row>
    <row r="276" spans="1:18" x14ac:dyDescent="0.25">
      <c r="A276" s="27">
        <v>2004</v>
      </c>
      <c r="B276" t="s">
        <v>721</v>
      </c>
      <c r="C276" t="s">
        <v>730</v>
      </c>
      <c r="D276" s="27">
        <v>9</v>
      </c>
      <c r="E276" s="27">
        <v>25</v>
      </c>
      <c r="F276" s="24">
        <v>0.26500000000000001</v>
      </c>
      <c r="G276" s="26">
        <v>16</v>
      </c>
      <c r="H276" s="25">
        <v>64.400000000000006</v>
      </c>
      <c r="I276" s="25">
        <v>69.5</v>
      </c>
      <c r="M276" s="33">
        <v>0</v>
      </c>
      <c r="N276" s="33">
        <v>0</v>
      </c>
      <c r="R276" s="29" t="s">
        <v>709</v>
      </c>
    </row>
    <row r="277" spans="1:18" x14ac:dyDescent="0.25">
      <c r="A277" s="27">
        <v>2003</v>
      </c>
      <c r="B277" t="s">
        <v>720</v>
      </c>
      <c r="C277" t="s">
        <v>729</v>
      </c>
      <c r="D277" s="27">
        <v>25</v>
      </c>
      <c r="E277" s="27">
        <v>9</v>
      </c>
      <c r="F277" s="24">
        <v>0.73499999999999999</v>
      </c>
      <c r="G277" s="26">
        <v>0</v>
      </c>
      <c r="H277" s="25">
        <v>75.099999999999994</v>
      </c>
      <c r="I277" s="25">
        <v>70.400000000000006</v>
      </c>
      <c r="J277" t="s">
        <v>30</v>
      </c>
      <c r="K277" s="29" t="s">
        <v>30</v>
      </c>
      <c r="L277" s="29" t="s">
        <v>30</v>
      </c>
      <c r="M277" s="33">
        <v>2</v>
      </c>
      <c r="N277" s="33">
        <v>1</v>
      </c>
      <c r="O277" s="29" t="s">
        <v>30</v>
      </c>
      <c r="P277" s="29" t="s">
        <v>30</v>
      </c>
      <c r="Q277" s="29" t="s">
        <v>30</v>
      </c>
      <c r="R277" s="29" t="s">
        <v>732</v>
      </c>
    </row>
    <row r="278" spans="1:18" x14ac:dyDescent="0.25">
      <c r="A278" s="27">
        <v>2003</v>
      </c>
      <c r="B278" t="s">
        <v>723</v>
      </c>
      <c r="C278" t="s">
        <v>729</v>
      </c>
      <c r="D278" s="27">
        <v>18</v>
      </c>
      <c r="E278" s="27">
        <v>16</v>
      </c>
      <c r="F278" s="24">
        <v>0.52900000000000003</v>
      </c>
      <c r="G278" s="26">
        <v>7</v>
      </c>
      <c r="H278" s="25">
        <v>65.2</v>
      </c>
      <c r="I278" s="25">
        <v>64.599999999999994</v>
      </c>
      <c r="J278" t="s">
        <v>30</v>
      </c>
      <c r="M278" s="33">
        <v>0</v>
      </c>
      <c r="N278" s="33">
        <v>0</v>
      </c>
      <c r="R278" s="29" t="str">
        <f>WNBA_TeamSeasons[[#This Row],[Team]]</f>
        <v>Charlotte Sting</v>
      </c>
    </row>
    <row r="279" spans="1:18" x14ac:dyDescent="0.25">
      <c r="A279" s="27">
        <v>2003</v>
      </c>
      <c r="B279" t="s">
        <v>713</v>
      </c>
      <c r="C279" t="s">
        <v>729</v>
      </c>
      <c r="D279" s="27">
        <v>18</v>
      </c>
      <c r="E279" s="27">
        <v>16</v>
      </c>
      <c r="F279" s="24">
        <v>0.52900000000000003</v>
      </c>
      <c r="G279" s="26">
        <v>7</v>
      </c>
      <c r="H279" s="25">
        <v>70.099999999999994</v>
      </c>
      <c r="I279" s="25">
        <v>70.900000000000006</v>
      </c>
      <c r="J279" t="s">
        <v>30</v>
      </c>
      <c r="M279" s="33">
        <v>0</v>
      </c>
      <c r="N279" s="33">
        <v>0</v>
      </c>
      <c r="R279" s="29" t="str">
        <f>VLOOKUP(WNBA_TeamSeasons[[#This Row],[Team]],$Y$3:$Y$17,1,FALSE)</f>
        <v>Connecticut Sun</v>
      </c>
    </row>
    <row r="280" spans="1:18" x14ac:dyDescent="0.25">
      <c r="A280" s="27">
        <v>2003</v>
      </c>
      <c r="B280" t="s">
        <v>735</v>
      </c>
      <c r="C280" t="s">
        <v>729</v>
      </c>
      <c r="D280" s="27">
        <v>17</v>
      </c>
      <c r="E280" s="27">
        <v>17</v>
      </c>
      <c r="F280" s="24">
        <v>0.5</v>
      </c>
      <c r="G280" s="26">
        <v>8</v>
      </c>
      <c r="H280" s="25">
        <v>65.599999999999994</v>
      </c>
      <c r="I280" s="25">
        <v>65</v>
      </c>
      <c r="J280" t="s">
        <v>30</v>
      </c>
      <c r="M280" s="33">
        <v>0</v>
      </c>
      <c r="N280" s="33">
        <v>0</v>
      </c>
      <c r="R280" s="29" t="str">
        <f>WNBA_TeamSeasons[[#This Row],[Team]]</f>
        <v>Cleveland Rockers</v>
      </c>
    </row>
    <row r="281" spans="1:18" x14ac:dyDescent="0.25">
      <c r="A281" s="27">
        <v>2003</v>
      </c>
      <c r="B281" t="s">
        <v>718</v>
      </c>
      <c r="C281" t="s">
        <v>729</v>
      </c>
      <c r="D281" s="27">
        <v>16</v>
      </c>
      <c r="E281" s="27">
        <v>18</v>
      </c>
      <c r="F281" s="24">
        <v>0.47099999999999997</v>
      </c>
      <c r="G281" s="26">
        <v>9</v>
      </c>
      <c r="H281" s="25">
        <v>68.7</v>
      </c>
      <c r="I281" s="25">
        <v>68.3</v>
      </c>
      <c r="M281" s="33">
        <v>0</v>
      </c>
      <c r="N281" s="33">
        <v>0</v>
      </c>
      <c r="R281" s="29" t="str">
        <f>VLOOKUP(WNBA_TeamSeasons[[#This Row],[Team]],$Y$3:$Y$17,1,FALSE)</f>
        <v>Indiana Fever</v>
      </c>
    </row>
    <row r="282" spans="1:18" x14ac:dyDescent="0.25">
      <c r="A282" s="27">
        <v>2003</v>
      </c>
      <c r="B282" t="s">
        <v>711</v>
      </c>
      <c r="C282" t="s">
        <v>729</v>
      </c>
      <c r="D282" s="27">
        <v>16</v>
      </c>
      <c r="E282" s="27">
        <v>18</v>
      </c>
      <c r="F282" s="24">
        <v>0.47099999999999997</v>
      </c>
      <c r="G282" s="26">
        <v>9</v>
      </c>
      <c r="H282" s="25">
        <v>66</v>
      </c>
      <c r="I282" s="25">
        <v>66.400000000000006</v>
      </c>
      <c r="M282" s="33">
        <v>0</v>
      </c>
      <c r="N282" s="33">
        <v>0</v>
      </c>
      <c r="R282" s="29" t="str">
        <f>VLOOKUP(WNBA_TeamSeasons[[#This Row],[Team]],$Y$3:$Y$17,1,FALSE)</f>
        <v>New York Liberty</v>
      </c>
    </row>
    <row r="283" spans="1:18" x14ac:dyDescent="0.25">
      <c r="A283" s="27">
        <v>2003</v>
      </c>
      <c r="B283" t="s">
        <v>716</v>
      </c>
      <c r="C283" t="s">
        <v>729</v>
      </c>
      <c r="D283" s="27">
        <v>9</v>
      </c>
      <c r="E283" s="27">
        <v>25</v>
      </c>
      <c r="F283" s="24">
        <v>0.26500000000000001</v>
      </c>
      <c r="G283" s="26">
        <v>16</v>
      </c>
      <c r="H283" s="25">
        <v>68.5</v>
      </c>
      <c r="I283" s="25">
        <v>73.5</v>
      </c>
      <c r="M283" s="33">
        <v>0</v>
      </c>
      <c r="N283" s="33">
        <v>0</v>
      </c>
      <c r="R283" s="29" t="str">
        <f>VLOOKUP(WNBA_TeamSeasons[[#This Row],[Team]],$Y$3:$Y$17,1,FALSE)</f>
        <v>Washington Mystics</v>
      </c>
    </row>
    <row r="284" spans="1:18" x14ac:dyDescent="0.25">
      <c r="A284" s="27">
        <v>2003</v>
      </c>
      <c r="B284" t="s">
        <v>717</v>
      </c>
      <c r="C284" t="s">
        <v>730</v>
      </c>
      <c r="D284" s="27">
        <v>24</v>
      </c>
      <c r="E284" s="27">
        <v>10</v>
      </c>
      <c r="F284" s="24">
        <v>0.70599999999999996</v>
      </c>
      <c r="G284" s="26">
        <v>0</v>
      </c>
      <c r="H284" s="25">
        <v>73.5</v>
      </c>
      <c r="I284" s="25">
        <v>71.5</v>
      </c>
      <c r="J284" t="s">
        <v>30</v>
      </c>
      <c r="K284" s="29" t="s">
        <v>30</v>
      </c>
      <c r="M284" s="33">
        <v>1</v>
      </c>
      <c r="N284" s="33">
        <v>2</v>
      </c>
      <c r="O284" s="29" t="s">
        <v>30</v>
      </c>
      <c r="P284" s="29" t="s">
        <v>30</v>
      </c>
      <c r="R284" s="29" t="str">
        <f>VLOOKUP(WNBA_TeamSeasons[[#This Row],[Team]],$Y$3:$Y$17,1,FALSE)</f>
        <v>Los Angeles Sparks</v>
      </c>
    </row>
    <row r="285" spans="1:18" x14ac:dyDescent="0.25">
      <c r="A285" s="27">
        <v>2003</v>
      </c>
      <c r="B285" t="s">
        <v>724</v>
      </c>
      <c r="C285" t="s">
        <v>730</v>
      </c>
      <c r="D285" s="27">
        <v>20</v>
      </c>
      <c r="E285" s="27">
        <v>14</v>
      </c>
      <c r="F285" s="24">
        <v>0.58799999999999997</v>
      </c>
      <c r="G285" s="26">
        <v>4</v>
      </c>
      <c r="H285" s="25">
        <v>66</v>
      </c>
      <c r="I285" s="25">
        <v>63</v>
      </c>
      <c r="J285" t="s">
        <v>30</v>
      </c>
      <c r="M285" s="33">
        <v>0</v>
      </c>
      <c r="N285" s="33">
        <v>0</v>
      </c>
      <c r="R285" s="29" t="str">
        <f>WNBA_TeamSeasons[[#This Row],[Team]]</f>
        <v>Houston Comets</v>
      </c>
    </row>
    <row r="286" spans="1:18" x14ac:dyDescent="0.25">
      <c r="A286" s="27">
        <v>2003</v>
      </c>
      <c r="B286" t="s">
        <v>722</v>
      </c>
      <c r="C286" t="s">
        <v>730</v>
      </c>
      <c r="D286" s="27">
        <v>19</v>
      </c>
      <c r="E286" s="27">
        <v>15</v>
      </c>
      <c r="F286" s="24">
        <v>0.55900000000000005</v>
      </c>
      <c r="G286" s="26">
        <v>5</v>
      </c>
      <c r="H286" s="25">
        <v>67.599999999999994</v>
      </c>
      <c r="I286" s="25">
        <v>65.2</v>
      </c>
      <c r="J286" t="s">
        <v>30</v>
      </c>
      <c r="M286" s="33">
        <v>0</v>
      </c>
      <c r="N286" s="33">
        <v>0</v>
      </c>
      <c r="R286" s="29" t="str">
        <f>WNBA_TeamSeasons[[#This Row],[Team]]</f>
        <v>Sacramento Monarchs</v>
      </c>
    </row>
    <row r="287" spans="1:18" x14ac:dyDescent="0.25">
      <c r="A287" s="27">
        <v>2003</v>
      </c>
      <c r="B287" t="s">
        <v>712</v>
      </c>
      <c r="C287" t="s">
        <v>730</v>
      </c>
      <c r="D287" s="27">
        <v>18</v>
      </c>
      <c r="E287" s="27">
        <v>16</v>
      </c>
      <c r="F287" s="24">
        <v>0.52900000000000003</v>
      </c>
      <c r="G287" s="26">
        <v>6</v>
      </c>
      <c r="H287" s="25">
        <v>70</v>
      </c>
      <c r="I287" s="25">
        <v>69.7</v>
      </c>
      <c r="J287" t="s">
        <v>30</v>
      </c>
      <c r="M287" s="33">
        <v>0</v>
      </c>
      <c r="N287" s="33">
        <v>0</v>
      </c>
      <c r="R287" s="29" t="str">
        <f>VLOOKUP(WNBA_TeamSeasons[[#This Row],[Team]],$Y$3:$Y$17,1,FALSE)</f>
        <v>Minnesota Lynx</v>
      </c>
    </row>
    <row r="288" spans="1:18" x14ac:dyDescent="0.25">
      <c r="A288" s="27">
        <v>2003</v>
      </c>
      <c r="B288" t="s">
        <v>715</v>
      </c>
      <c r="C288" t="s">
        <v>730</v>
      </c>
      <c r="D288" s="27">
        <v>18</v>
      </c>
      <c r="E288" s="27">
        <v>16</v>
      </c>
      <c r="F288" s="24">
        <v>0.52900000000000003</v>
      </c>
      <c r="G288" s="26">
        <v>6</v>
      </c>
      <c r="H288" s="25">
        <v>70.2</v>
      </c>
      <c r="I288" s="25">
        <v>66.900000000000006</v>
      </c>
      <c r="M288" s="33">
        <v>0</v>
      </c>
      <c r="N288" s="33">
        <v>0</v>
      </c>
      <c r="R288" s="29" t="str">
        <f>VLOOKUP(WNBA_TeamSeasons[[#This Row],[Team]],$Y$3:$Y$17,1,FALSE)</f>
        <v>Seattle Storm</v>
      </c>
    </row>
    <row r="289" spans="1:18" x14ac:dyDescent="0.25">
      <c r="A289" s="27">
        <v>2003</v>
      </c>
      <c r="B289" t="s">
        <v>721</v>
      </c>
      <c r="C289" t="s">
        <v>730</v>
      </c>
      <c r="D289" s="27">
        <v>12</v>
      </c>
      <c r="E289" s="27">
        <v>22</v>
      </c>
      <c r="F289" s="24">
        <v>0.35299999999999998</v>
      </c>
      <c r="G289" s="26">
        <v>12</v>
      </c>
      <c r="H289" s="25">
        <v>65.099999999999994</v>
      </c>
      <c r="I289" s="25">
        <v>71.400000000000006</v>
      </c>
      <c r="M289" s="33">
        <v>0</v>
      </c>
      <c r="N289" s="33">
        <v>0</v>
      </c>
      <c r="R289" s="29" t="s">
        <v>709</v>
      </c>
    </row>
    <row r="290" spans="1:18" x14ac:dyDescent="0.25">
      <c r="A290" s="27">
        <v>2003</v>
      </c>
      <c r="B290" t="s">
        <v>710</v>
      </c>
      <c r="C290" t="s">
        <v>730</v>
      </c>
      <c r="D290" s="27">
        <v>8</v>
      </c>
      <c r="E290" s="27">
        <v>26</v>
      </c>
      <c r="F290" s="24">
        <v>0.23499999999999999</v>
      </c>
      <c r="G290" s="26">
        <v>16</v>
      </c>
      <c r="H290" s="25">
        <v>61.7</v>
      </c>
      <c r="I290" s="25">
        <v>66.8</v>
      </c>
      <c r="M290" s="33">
        <v>0</v>
      </c>
      <c r="N290" s="33">
        <v>0</v>
      </c>
      <c r="R290" s="29" t="str">
        <f>VLOOKUP(WNBA_TeamSeasons[[#This Row],[Team]],$Y$3:$Y$17,1,FALSE)</f>
        <v>Phoenix Mercury</v>
      </c>
    </row>
    <row r="291" spans="1:18" x14ac:dyDescent="0.25">
      <c r="A291" s="27">
        <v>2002</v>
      </c>
      <c r="B291" t="s">
        <v>723</v>
      </c>
      <c r="C291" t="s">
        <v>729</v>
      </c>
      <c r="D291" s="27">
        <v>18</v>
      </c>
      <c r="E291" s="27">
        <v>14</v>
      </c>
      <c r="F291" s="24">
        <v>0.56299999999999994</v>
      </c>
      <c r="G291" s="26">
        <v>0</v>
      </c>
      <c r="H291" s="25">
        <v>70</v>
      </c>
      <c r="I291" s="25">
        <v>66.7</v>
      </c>
      <c r="J291" t="s">
        <v>30</v>
      </c>
      <c r="K291" s="29" t="s">
        <v>30</v>
      </c>
      <c r="M291" s="33">
        <v>0</v>
      </c>
      <c r="N291" s="33">
        <v>0</v>
      </c>
      <c r="R291" s="29" t="str">
        <f>WNBA_TeamSeasons[[#This Row],[Team]]</f>
        <v>Charlotte Sting</v>
      </c>
    </row>
    <row r="292" spans="1:18" x14ac:dyDescent="0.25">
      <c r="A292" s="27">
        <v>2002</v>
      </c>
      <c r="B292" t="s">
        <v>711</v>
      </c>
      <c r="C292" t="s">
        <v>729</v>
      </c>
      <c r="D292" s="27">
        <v>18</v>
      </c>
      <c r="E292" s="27">
        <v>14</v>
      </c>
      <c r="F292" s="24">
        <v>0.56299999999999994</v>
      </c>
      <c r="G292" s="26">
        <v>0</v>
      </c>
      <c r="H292" s="25">
        <v>65.3</v>
      </c>
      <c r="I292" s="25">
        <v>63</v>
      </c>
      <c r="J292" t="s">
        <v>30</v>
      </c>
      <c r="K292" s="29" t="s">
        <v>30</v>
      </c>
      <c r="M292" s="33">
        <v>0</v>
      </c>
      <c r="N292" s="33">
        <v>2</v>
      </c>
      <c r="O292" s="29" t="s">
        <v>30</v>
      </c>
      <c r="P292" s="29" t="s">
        <v>30</v>
      </c>
      <c r="R292" s="29" t="str">
        <f>VLOOKUP(WNBA_TeamSeasons[[#This Row],[Team]],$Y$3:$Y$17,1,FALSE)</f>
        <v>New York Liberty</v>
      </c>
    </row>
    <row r="293" spans="1:18" x14ac:dyDescent="0.25">
      <c r="A293" s="27">
        <v>2002</v>
      </c>
      <c r="B293" t="s">
        <v>716</v>
      </c>
      <c r="C293" t="s">
        <v>729</v>
      </c>
      <c r="D293" s="27">
        <v>17</v>
      </c>
      <c r="E293" s="27">
        <v>15</v>
      </c>
      <c r="F293" s="24">
        <v>0.53100000000000003</v>
      </c>
      <c r="G293" s="26">
        <v>1</v>
      </c>
      <c r="H293" s="25">
        <v>66.7</v>
      </c>
      <c r="I293" s="25">
        <v>66.099999999999994</v>
      </c>
      <c r="J293" t="s">
        <v>30</v>
      </c>
      <c r="M293" s="33">
        <v>0</v>
      </c>
      <c r="N293" s="33">
        <v>0</v>
      </c>
      <c r="R293" s="29" t="str">
        <f>VLOOKUP(WNBA_TeamSeasons[[#This Row],[Team]],$Y$3:$Y$17,1,FALSE)</f>
        <v>Washington Mystics</v>
      </c>
    </row>
    <row r="294" spans="1:18" x14ac:dyDescent="0.25">
      <c r="A294" s="27">
        <v>2002</v>
      </c>
      <c r="B294" t="s">
        <v>718</v>
      </c>
      <c r="C294" t="s">
        <v>729</v>
      </c>
      <c r="D294" s="27">
        <v>16</v>
      </c>
      <c r="E294" s="27">
        <v>16</v>
      </c>
      <c r="F294" s="24">
        <v>0.5</v>
      </c>
      <c r="G294" s="26">
        <v>2</v>
      </c>
      <c r="H294" s="25">
        <v>65.5</v>
      </c>
      <c r="I294" s="25">
        <v>66.5</v>
      </c>
      <c r="J294" t="s">
        <v>30</v>
      </c>
      <c r="M294" s="33">
        <v>0</v>
      </c>
      <c r="N294" s="33">
        <v>0</v>
      </c>
      <c r="R294" s="29" t="str">
        <f>VLOOKUP(WNBA_TeamSeasons[[#This Row],[Team]],$Y$3:$Y$17,1,FALSE)</f>
        <v>Indiana Fever</v>
      </c>
    </row>
    <row r="295" spans="1:18" x14ac:dyDescent="0.25">
      <c r="A295" s="27">
        <v>2002</v>
      </c>
      <c r="B295" t="s">
        <v>736</v>
      </c>
      <c r="C295" t="s">
        <v>729</v>
      </c>
      <c r="D295" s="27">
        <v>16</v>
      </c>
      <c r="E295" s="27">
        <v>16</v>
      </c>
      <c r="F295" s="24">
        <v>0.5</v>
      </c>
      <c r="G295" s="26">
        <v>2</v>
      </c>
      <c r="H295" s="25">
        <v>70.400000000000006</v>
      </c>
      <c r="I295" s="25">
        <v>70.5</v>
      </c>
      <c r="M295" s="33">
        <v>0</v>
      </c>
      <c r="N295" s="33">
        <v>0</v>
      </c>
      <c r="R295" s="29" t="s">
        <v>713</v>
      </c>
    </row>
    <row r="296" spans="1:18" x14ac:dyDescent="0.25">
      <c r="A296" s="27">
        <v>2002</v>
      </c>
      <c r="B296" t="s">
        <v>737</v>
      </c>
      <c r="C296" t="s">
        <v>729</v>
      </c>
      <c r="D296" s="27">
        <v>15</v>
      </c>
      <c r="E296" s="27">
        <v>17</v>
      </c>
      <c r="F296" s="24">
        <v>0.46899999999999997</v>
      </c>
      <c r="G296" s="26">
        <v>3</v>
      </c>
      <c r="H296" s="25">
        <v>63.9</v>
      </c>
      <c r="I296" s="25">
        <v>65.3</v>
      </c>
      <c r="M296" s="33">
        <v>0</v>
      </c>
      <c r="N296" s="33">
        <v>0</v>
      </c>
      <c r="R296" s="29" t="str">
        <f>WNBA_TeamSeasons[[#This Row],[Team]]</f>
        <v>Miami Sol</v>
      </c>
    </row>
    <row r="297" spans="1:18" x14ac:dyDescent="0.25">
      <c r="A297" s="27">
        <v>2002</v>
      </c>
      <c r="B297" t="s">
        <v>735</v>
      </c>
      <c r="C297" t="s">
        <v>729</v>
      </c>
      <c r="D297" s="27">
        <v>10</v>
      </c>
      <c r="E297" s="27">
        <v>22</v>
      </c>
      <c r="F297" s="24">
        <v>0.313</v>
      </c>
      <c r="G297" s="26">
        <v>8</v>
      </c>
      <c r="H297" s="25">
        <v>64.7</v>
      </c>
      <c r="I297" s="25">
        <v>66.900000000000006</v>
      </c>
      <c r="M297" s="33">
        <v>0</v>
      </c>
      <c r="N297" s="33">
        <v>0</v>
      </c>
      <c r="R297" s="29" t="str">
        <f>WNBA_TeamSeasons[[#This Row],[Team]]</f>
        <v>Cleveland Rockers</v>
      </c>
    </row>
    <row r="298" spans="1:18" x14ac:dyDescent="0.25">
      <c r="A298" s="27">
        <v>2002</v>
      </c>
      <c r="B298" t="s">
        <v>720</v>
      </c>
      <c r="C298" t="s">
        <v>729</v>
      </c>
      <c r="D298" s="27">
        <v>9</v>
      </c>
      <c r="E298" s="27">
        <v>23</v>
      </c>
      <c r="F298" s="24">
        <v>0.28100000000000003</v>
      </c>
      <c r="G298" s="26">
        <v>9</v>
      </c>
      <c r="H298" s="25">
        <v>66.099999999999994</v>
      </c>
      <c r="I298" s="25">
        <v>70.8</v>
      </c>
      <c r="M298" s="33">
        <v>0</v>
      </c>
      <c r="N298" s="33">
        <v>0</v>
      </c>
      <c r="R298" s="29" t="s">
        <v>732</v>
      </c>
    </row>
    <row r="299" spans="1:18" x14ac:dyDescent="0.25">
      <c r="A299" s="27">
        <v>2002</v>
      </c>
      <c r="B299" t="s">
        <v>717</v>
      </c>
      <c r="C299" t="s">
        <v>730</v>
      </c>
      <c r="D299" s="27">
        <v>25</v>
      </c>
      <c r="E299" s="27">
        <v>7</v>
      </c>
      <c r="F299" s="24">
        <v>0.78100000000000003</v>
      </c>
      <c r="G299" s="26">
        <v>0</v>
      </c>
      <c r="H299" s="25">
        <v>76.599999999999994</v>
      </c>
      <c r="I299" s="25">
        <v>69.8</v>
      </c>
      <c r="J299" t="s">
        <v>30</v>
      </c>
      <c r="K299" s="29" t="s">
        <v>30</v>
      </c>
      <c r="L299" s="29" t="s">
        <v>30</v>
      </c>
      <c r="M299" s="33">
        <v>2</v>
      </c>
      <c r="N299" s="33">
        <v>0</v>
      </c>
      <c r="O299" s="29" t="s">
        <v>30</v>
      </c>
      <c r="P299" s="29" t="s">
        <v>30</v>
      </c>
      <c r="Q299" s="29" t="s">
        <v>30</v>
      </c>
      <c r="R299" s="29" t="str">
        <f>VLOOKUP(WNBA_TeamSeasons[[#This Row],[Team]],$Y$3:$Y$17,1,FALSE)</f>
        <v>Los Angeles Sparks</v>
      </c>
    </row>
    <row r="300" spans="1:18" x14ac:dyDescent="0.25">
      <c r="A300" s="27">
        <v>2002</v>
      </c>
      <c r="B300" t="s">
        <v>724</v>
      </c>
      <c r="C300" t="s">
        <v>730</v>
      </c>
      <c r="D300" s="27">
        <v>24</v>
      </c>
      <c r="E300" s="27">
        <v>8</v>
      </c>
      <c r="F300" s="24">
        <v>0.75</v>
      </c>
      <c r="G300" s="26">
        <v>1</v>
      </c>
      <c r="H300" s="25">
        <v>64.8</v>
      </c>
      <c r="I300" s="25">
        <v>59.1</v>
      </c>
      <c r="J300" t="s">
        <v>30</v>
      </c>
      <c r="M300" s="33">
        <v>0</v>
      </c>
      <c r="N300" s="33">
        <v>0</v>
      </c>
      <c r="R300" s="29" t="str">
        <f>WNBA_TeamSeasons[[#This Row],[Team]]</f>
        <v>Houston Comets</v>
      </c>
    </row>
    <row r="301" spans="1:18" x14ac:dyDescent="0.25">
      <c r="A301" s="27">
        <v>2002</v>
      </c>
      <c r="B301" t="s">
        <v>738</v>
      </c>
      <c r="C301" t="s">
        <v>730</v>
      </c>
      <c r="D301" s="27">
        <v>20</v>
      </c>
      <c r="E301" s="27">
        <v>12</v>
      </c>
      <c r="F301" s="24">
        <v>0.625</v>
      </c>
      <c r="G301" s="26">
        <v>5</v>
      </c>
      <c r="H301" s="25">
        <v>75.599999999999994</v>
      </c>
      <c r="I301" s="25">
        <v>73.3</v>
      </c>
      <c r="J301" t="s">
        <v>30</v>
      </c>
      <c r="M301" s="33">
        <v>0</v>
      </c>
      <c r="N301" s="33">
        <v>0</v>
      </c>
      <c r="R301" s="29" t="s">
        <v>709</v>
      </c>
    </row>
    <row r="302" spans="1:18" x14ac:dyDescent="0.25">
      <c r="A302" s="27">
        <v>2002</v>
      </c>
      <c r="B302" t="s">
        <v>715</v>
      </c>
      <c r="C302" t="s">
        <v>730</v>
      </c>
      <c r="D302" s="27">
        <v>17</v>
      </c>
      <c r="E302" s="27">
        <v>15</v>
      </c>
      <c r="F302" s="24">
        <v>0.53100000000000003</v>
      </c>
      <c r="G302" s="26">
        <v>8</v>
      </c>
      <c r="H302" s="25">
        <v>68.400000000000006</v>
      </c>
      <c r="I302" s="25">
        <v>65.7</v>
      </c>
      <c r="J302" t="s">
        <v>30</v>
      </c>
      <c r="M302" s="33">
        <v>0</v>
      </c>
      <c r="N302" s="33">
        <v>0</v>
      </c>
      <c r="R302" s="29" t="str">
        <f>VLOOKUP(WNBA_TeamSeasons[[#This Row],[Team]],$Y$3:$Y$17,1,FALSE)</f>
        <v>Seattle Storm</v>
      </c>
    </row>
    <row r="303" spans="1:18" x14ac:dyDescent="0.25">
      <c r="A303" s="27">
        <v>2002</v>
      </c>
      <c r="B303" t="s">
        <v>739</v>
      </c>
      <c r="C303" t="s">
        <v>730</v>
      </c>
      <c r="D303" s="27">
        <v>16</v>
      </c>
      <c r="E303" s="27">
        <v>16</v>
      </c>
      <c r="F303" s="24">
        <v>0.5</v>
      </c>
      <c r="G303" s="26">
        <v>9</v>
      </c>
      <c r="H303" s="25">
        <v>68.599999999999994</v>
      </c>
      <c r="I303" s="25">
        <v>69.599999999999994</v>
      </c>
      <c r="M303" s="33">
        <v>0</v>
      </c>
      <c r="N303" s="33">
        <v>0</v>
      </c>
      <c r="R303" s="29" t="str">
        <f>VLOOKUP(WNBA_TeamSeasons[[#This Row],[Team]],$Y$3:$Y$17,1,FALSE)</f>
        <v>Portland Fire</v>
      </c>
    </row>
    <row r="304" spans="1:18" x14ac:dyDescent="0.25">
      <c r="A304" s="27">
        <v>2002</v>
      </c>
      <c r="B304" t="s">
        <v>722</v>
      </c>
      <c r="C304" t="s">
        <v>730</v>
      </c>
      <c r="D304" s="27">
        <v>14</v>
      </c>
      <c r="E304" s="27">
        <v>18</v>
      </c>
      <c r="F304" s="24">
        <v>0.438</v>
      </c>
      <c r="G304" s="26">
        <v>11</v>
      </c>
      <c r="H304" s="25">
        <v>67.7</v>
      </c>
      <c r="I304" s="25">
        <v>71.7</v>
      </c>
      <c r="M304" s="33">
        <v>0</v>
      </c>
      <c r="N304" s="33">
        <v>0</v>
      </c>
      <c r="R304" s="29" t="str">
        <f>WNBA_TeamSeasons[[#This Row],[Team]]</f>
        <v>Sacramento Monarchs</v>
      </c>
    </row>
    <row r="305" spans="1:18" x14ac:dyDescent="0.25">
      <c r="A305" s="27">
        <v>2002</v>
      </c>
      <c r="B305" t="s">
        <v>710</v>
      </c>
      <c r="C305" t="s">
        <v>730</v>
      </c>
      <c r="D305" s="27">
        <v>11</v>
      </c>
      <c r="E305" s="27">
        <v>21</v>
      </c>
      <c r="F305" s="24">
        <v>0.34399999999999997</v>
      </c>
      <c r="G305" s="26">
        <v>14</v>
      </c>
      <c r="H305" s="25">
        <v>65.3</v>
      </c>
      <c r="I305" s="25">
        <v>71.599999999999994</v>
      </c>
      <c r="M305" s="33">
        <v>0</v>
      </c>
      <c r="N305" s="33">
        <v>0</v>
      </c>
      <c r="R305" s="29" t="str">
        <f>VLOOKUP(WNBA_TeamSeasons[[#This Row],[Team]],$Y$3:$Y$17,1,FALSE)</f>
        <v>Phoenix Mercury</v>
      </c>
    </row>
    <row r="306" spans="1:18" x14ac:dyDescent="0.25">
      <c r="A306" s="27">
        <v>2002</v>
      </c>
      <c r="B306" t="s">
        <v>712</v>
      </c>
      <c r="C306" t="s">
        <v>730</v>
      </c>
      <c r="D306" s="27">
        <v>10</v>
      </c>
      <c r="E306" s="27">
        <v>22</v>
      </c>
      <c r="F306" s="24">
        <v>0.313</v>
      </c>
      <c r="G306" s="26">
        <v>15</v>
      </c>
      <c r="H306" s="25">
        <v>62.6</v>
      </c>
      <c r="I306" s="25">
        <v>65.8</v>
      </c>
      <c r="M306" s="33">
        <v>0</v>
      </c>
      <c r="N306" s="33">
        <v>0</v>
      </c>
      <c r="R306" s="29" t="str">
        <f>VLOOKUP(WNBA_TeamSeasons[[#This Row],[Team]],$Y$3:$Y$17,1,FALSE)</f>
        <v>Minnesota Lynx</v>
      </c>
    </row>
    <row r="307" spans="1:18" x14ac:dyDescent="0.25">
      <c r="A307" s="27">
        <v>2001</v>
      </c>
      <c r="B307" t="s">
        <v>735</v>
      </c>
      <c r="C307" t="s">
        <v>729</v>
      </c>
      <c r="D307" s="27">
        <v>22</v>
      </c>
      <c r="E307" s="27">
        <v>10</v>
      </c>
      <c r="F307" s="24">
        <v>0.68799999999999994</v>
      </c>
      <c r="G307" s="26">
        <v>0</v>
      </c>
      <c r="H307" s="25">
        <v>62.6</v>
      </c>
      <c r="I307" s="25">
        <v>55.9</v>
      </c>
      <c r="J307" t="s">
        <v>30</v>
      </c>
      <c r="K307" s="29" t="s">
        <v>30</v>
      </c>
      <c r="M307" s="33">
        <v>0</v>
      </c>
      <c r="N307" s="33">
        <v>0</v>
      </c>
      <c r="R307" s="29" t="str">
        <f>WNBA_TeamSeasons[[#This Row],[Team]]</f>
        <v>Cleveland Rockers</v>
      </c>
    </row>
    <row r="308" spans="1:18" x14ac:dyDescent="0.25">
      <c r="A308" s="27">
        <v>2001</v>
      </c>
      <c r="B308" t="s">
        <v>711</v>
      </c>
      <c r="C308" t="s">
        <v>729</v>
      </c>
      <c r="D308" s="27">
        <v>21</v>
      </c>
      <c r="E308" s="27">
        <v>11</v>
      </c>
      <c r="F308" s="24">
        <v>0.65600000000000003</v>
      </c>
      <c r="G308" s="26">
        <v>1</v>
      </c>
      <c r="H308" s="25">
        <v>67.599999999999994</v>
      </c>
      <c r="I308" s="25">
        <v>65.099999999999994</v>
      </c>
      <c r="J308" t="s">
        <v>30</v>
      </c>
      <c r="M308" s="33">
        <v>0</v>
      </c>
      <c r="N308" s="33">
        <v>0</v>
      </c>
      <c r="R308" s="29" t="str">
        <f>VLOOKUP(WNBA_TeamSeasons[[#This Row],[Team]],$Y$3:$Y$17,1,FALSE)</f>
        <v>New York Liberty</v>
      </c>
    </row>
    <row r="309" spans="1:18" x14ac:dyDescent="0.25">
      <c r="A309" s="27">
        <v>2001</v>
      </c>
      <c r="B309" t="s">
        <v>737</v>
      </c>
      <c r="C309" t="s">
        <v>729</v>
      </c>
      <c r="D309" s="27">
        <v>20</v>
      </c>
      <c r="E309" s="27">
        <v>12</v>
      </c>
      <c r="F309" s="24">
        <v>0.625</v>
      </c>
      <c r="G309" s="26">
        <v>2</v>
      </c>
      <c r="H309" s="25">
        <v>61.2</v>
      </c>
      <c r="I309" s="25">
        <v>59.3</v>
      </c>
      <c r="J309" t="s">
        <v>30</v>
      </c>
      <c r="M309" s="33">
        <v>0</v>
      </c>
      <c r="N309" s="33">
        <v>0</v>
      </c>
      <c r="R309" s="29" t="str">
        <f>WNBA_TeamSeasons[[#This Row],[Team]]</f>
        <v>Miami Sol</v>
      </c>
    </row>
    <row r="310" spans="1:18" x14ac:dyDescent="0.25">
      <c r="A310" s="27">
        <v>2001</v>
      </c>
      <c r="B310" t="s">
        <v>723</v>
      </c>
      <c r="C310" t="s">
        <v>729</v>
      </c>
      <c r="D310" s="27">
        <v>18</v>
      </c>
      <c r="E310" s="27">
        <v>14</v>
      </c>
      <c r="F310" s="24">
        <v>0.56299999999999994</v>
      </c>
      <c r="G310" s="26">
        <v>4</v>
      </c>
      <c r="H310" s="25">
        <v>64.2</v>
      </c>
      <c r="I310" s="25">
        <v>62.8</v>
      </c>
      <c r="J310" t="s">
        <v>30</v>
      </c>
      <c r="M310" s="33">
        <v>0</v>
      </c>
      <c r="N310" s="33">
        <v>2</v>
      </c>
      <c r="O310" s="29" t="s">
        <v>30</v>
      </c>
      <c r="P310" s="29" t="s">
        <v>30</v>
      </c>
      <c r="R310" s="29" t="str">
        <f>WNBA_TeamSeasons[[#This Row],[Team]]</f>
        <v>Charlotte Sting</v>
      </c>
    </row>
    <row r="311" spans="1:18" x14ac:dyDescent="0.25">
      <c r="A311" s="27">
        <v>2001</v>
      </c>
      <c r="B311" t="s">
        <v>736</v>
      </c>
      <c r="C311" t="s">
        <v>729</v>
      </c>
      <c r="D311" s="27">
        <v>13</v>
      </c>
      <c r="E311" s="27">
        <v>19</v>
      </c>
      <c r="F311" s="24">
        <v>0.40600000000000003</v>
      </c>
      <c r="G311" s="26">
        <v>9</v>
      </c>
      <c r="H311" s="25">
        <v>66.900000000000006</v>
      </c>
      <c r="I311" s="25">
        <v>68.900000000000006</v>
      </c>
      <c r="M311" s="33">
        <v>0</v>
      </c>
      <c r="N311" s="33">
        <v>0</v>
      </c>
      <c r="R311" s="29" t="s">
        <v>713</v>
      </c>
    </row>
    <row r="312" spans="1:18" x14ac:dyDescent="0.25">
      <c r="A312" s="27">
        <v>2001</v>
      </c>
      <c r="B312" t="s">
        <v>720</v>
      </c>
      <c r="C312" t="s">
        <v>729</v>
      </c>
      <c r="D312" s="27">
        <v>10</v>
      </c>
      <c r="E312" s="27">
        <v>22</v>
      </c>
      <c r="F312" s="24">
        <v>0.313</v>
      </c>
      <c r="G312" s="26">
        <v>12</v>
      </c>
      <c r="H312" s="25">
        <v>65.7</v>
      </c>
      <c r="I312" s="25">
        <v>70.900000000000006</v>
      </c>
      <c r="M312" s="33">
        <v>0</v>
      </c>
      <c r="N312" s="33">
        <v>0</v>
      </c>
      <c r="R312" s="29" t="s">
        <v>732</v>
      </c>
    </row>
    <row r="313" spans="1:18" x14ac:dyDescent="0.25">
      <c r="A313" s="27">
        <v>2001</v>
      </c>
      <c r="B313" t="s">
        <v>718</v>
      </c>
      <c r="C313" t="s">
        <v>729</v>
      </c>
      <c r="D313" s="27">
        <v>10</v>
      </c>
      <c r="E313" s="27">
        <v>22</v>
      </c>
      <c r="F313" s="24">
        <v>0.313</v>
      </c>
      <c r="G313" s="26">
        <v>12</v>
      </c>
      <c r="H313" s="25">
        <v>67.3</v>
      </c>
      <c r="I313" s="25">
        <v>70.3</v>
      </c>
      <c r="M313" s="33">
        <v>0</v>
      </c>
      <c r="N313" s="33">
        <v>0</v>
      </c>
      <c r="R313" s="29" t="str">
        <f>VLOOKUP(WNBA_TeamSeasons[[#This Row],[Team]],$Y$3:$Y$17,1,FALSE)</f>
        <v>Indiana Fever</v>
      </c>
    </row>
    <row r="314" spans="1:18" x14ac:dyDescent="0.25">
      <c r="A314" s="27">
        <v>2001</v>
      </c>
      <c r="B314" t="s">
        <v>716</v>
      </c>
      <c r="C314" t="s">
        <v>729</v>
      </c>
      <c r="D314" s="27">
        <v>10</v>
      </c>
      <c r="E314" s="27">
        <v>22</v>
      </c>
      <c r="F314" s="24">
        <v>0.313</v>
      </c>
      <c r="G314" s="26">
        <v>12</v>
      </c>
      <c r="H314" s="25">
        <v>60.3</v>
      </c>
      <c r="I314" s="25">
        <v>64.8</v>
      </c>
      <c r="M314" s="33">
        <v>0</v>
      </c>
      <c r="N314" s="33">
        <v>0</v>
      </c>
      <c r="R314" s="29" t="str">
        <f>VLOOKUP(WNBA_TeamSeasons[[#This Row],[Team]],$Y$3:$Y$17,1,FALSE)</f>
        <v>Washington Mystics</v>
      </c>
    </row>
    <row r="315" spans="1:18" x14ac:dyDescent="0.25">
      <c r="A315" s="27">
        <v>2001</v>
      </c>
      <c r="B315" t="s">
        <v>717</v>
      </c>
      <c r="C315" t="s">
        <v>730</v>
      </c>
      <c r="D315" s="27">
        <v>28</v>
      </c>
      <c r="E315" s="27">
        <v>4</v>
      </c>
      <c r="F315" s="24">
        <v>0.875</v>
      </c>
      <c r="G315" s="26">
        <v>0</v>
      </c>
      <c r="H315" s="25">
        <v>76.3</v>
      </c>
      <c r="I315" s="25">
        <v>67.7</v>
      </c>
      <c r="J315" t="s">
        <v>30</v>
      </c>
      <c r="K315" s="29" t="s">
        <v>30</v>
      </c>
      <c r="L315" s="29" t="s">
        <v>30</v>
      </c>
      <c r="M315" s="33">
        <v>2</v>
      </c>
      <c r="N315" s="33">
        <v>0</v>
      </c>
      <c r="O315" s="29" t="s">
        <v>30</v>
      </c>
      <c r="P315" s="29" t="s">
        <v>30</v>
      </c>
      <c r="Q315" s="29" t="s">
        <v>30</v>
      </c>
      <c r="R315" s="29" t="str">
        <f>VLOOKUP(WNBA_TeamSeasons[[#This Row],[Team]],$Y$3:$Y$17,1,FALSE)</f>
        <v>Los Angeles Sparks</v>
      </c>
    </row>
    <row r="316" spans="1:18" x14ac:dyDescent="0.25">
      <c r="A316" s="27">
        <v>2001</v>
      </c>
      <c r="B316" t="s">
        <v>722</v>
      </c>
      <c r="C316" t="s">
        <v>730</v>
      </c>
      <c r="D316" s="27">
        <v>20</v>
      </c>
      <c r="E316" s="27">
        <v>12</v>
      </c>
      <c r="F316" s="24">
        <v>0.625</v>
      </c>
      <c r="G316" s="26">
        <v>8</v>
      </c>
      <c r="H316" s="25">
        <v>71.7</v>
      </c>
      <c r="I316" s="25">
        <v>66.8</v>
      </c>
      <c r="J316" t="s">
        <v>30</v>
      </c>
      <c r="M316" s="33">
        <v>0</v>
      </c>
      <c r="N316" s="33">
        <v>0</v>
      </c>
      <c r="R316" s="29" t="str">
        <f>WNBA_TeamSeasons[[#This Row],[Team]]</f>
        <v>Sacramento Monarchs</v>
      </c>
    </row>
    <row r="317" spans="1:18" x14ac:dyDescent="0.25">
      <c r="A317" s="27">
        <v>2001</v>
      </c>
      <c r="B317" t="s">
        <v>724</v>
      </c>
      <c r="C317" t="s">
        <v>730</v>
      </c>
      <c r="D317" s="27">
        <v>19</v>
      </c>
      <c r="E317" s="27">
        <v>13</v>
      </c>
      <c r="F317" s="24">
        <v>0.59399999999999997</v>
      </c>
      <c r="G317" s="26">
        <v>9</v>
      </c>
      <c r="H317" s="25">
        <v>64</v>
      </c>
      <c r="I317" s="25">
        <v>62.3</v>
      </c>
      <c r="J317" t="s">
        <v>30</v>
      </c>
      <c r="M317" s="33">
        <v>0</v>
      </c>
      <c r="N317" s="33">
        <v>0</v>
      </c>
      <c r="R317" s="29" t="str">
        <f>WNBA_TeamSeasons[[#This Row],[Team]]</f>
        <v>Houston Comets</v>
      </c>
    </row>
    <row r="318" spans="1:18" x14ac:dyDescent="0.25">
      <c r="A318" s="27">
        <v>2001</v>
      </c>
      <c r="B318" t="s">
        <v>738</v>
      </c>
      <c r="C318" t="s">
        <v>730</v>
      </c>
      <c r="D318" s="27">
        <v>19</v>
      </c>
      <c r="E318" s="27">
        <v>13</v>
      </c>
      <c r="F318" s="24">
        <v>0.59399999999999997</v>
      </c>
      <c r="G318" s="26">
        <v>9</v>
      </c>
      <c r="H318" s="25">
        <v>69</v>
      </c>
      <c r="I318" s="25">
        <v>68.5</v>
      </c>
      <c r="J318" t="s">
        <v>30</v>
      </c>
      <c r="M318" s="33">
        <v>0</v>
      </c>
      <c r="N318" s="33">
        <v>0</v>
      </c>
      <c r="R318" s="29" t="s">
        <v>709</v>
      </c>
    </row>
    <row r="319" spans="1:18" x14ac:dyDescent="0.25">
      <c r="A319" s="27">
        <v>2001</v>
      </c>
      <c r="B319" t="s">
        <v>710</v>
      </c>
      <c r="C319" t="s">
        <v>730</v>
      </c>
      <c r="D319" s="27">
        <v>13</v>
      </c>
      <c r="E319" s="27">
        <v>19</v>
      </c>
      <c r="F319" s="24">
        <v>0.40600000000000003</v>
      </c>
      <c r="G319" s="26">
        <v>15</v>
      </c>
      <c r="H319" s="25">
        <v>64.5</v>
      </c>
      <c r="I319" s="25">
        <v>67.8</v>
      </c>
      <c r="M319" s="33">
        <v>0</v>
      </c>
      <c r="N319" s="33">
        <v>0</v>
      </c>
      <c r="R319" s="29" t="str">
        <f>VLOOKUP(WNBA_TeamSeasons[[#This Row],[Team]],$Y$3:$Y$17,1,FALSE)</f>
        <v>Phoenix Mercury</v>
      </c>
    </row>
    <row r="320" spans="1:18" x14ac:dyDescent="0.25">
      <c r="A320" s="27">
        <v>2001</v>
      </c>
      <c r="B320" t="s">
        <v>712</v>
      </c>
      <c r="C320" t="s">
        <v>730</v>
      </c>
      <c r="D320" s="27">
        <v>12</v>
      </c>
      <c r="E320" s="27">
        <v>20</v>
      </c>
      <c r="F320" s="24">
        <v>0.375</v>
      </c>
      <c r="G320" s="26">
        <v>16</v>
      </c>
      <c r="H320" s="25">
        <v>64.900000000000006</v>
      </c>
      <c r="I320" s="25">
        <v>67.400000000000006</v>
      </c>
      <c r="M320" s="33">
        <v>0</v>
      </c>
      <c r="N320" s="33">
        <v>0</v>
      </c>
      <c r="R320" s="29" t="str">
        <f>VLOOKUP(WNBA_TeamSeasons[[#This Row],[Team]],$Y$3:$Y$17,1,FALSE)</f>
        <v>Minnesota Lynx</v>
      </c>
    </row>
    <row r="321" spans="1:18" x14ac:dyDescent="0.25">
      <c r="A321" s="27">
        <v>2001</v>
      </c>
      <c r="B321" t="s">
        <v>739</v>
      </c>
      <c r="C321" t="s">
        <v>730</v>
      </c>
      <c r="D321" s="27">
        <v>11</v>
      </c>
      <c r="E321" s="27">
        <v>21</v>
      </c>
      <c r="F321" s="24">
        <v>0.34399999999999997</v>
      </c>
      <c r="G321" s="26">
        <v>17</v>
      </c>
      <c r="H321" s="25">
        <v>65.3</v>
      </c>
      <c r="I321" s="25">
        <v>68.8</v>
      </c>
      <c r="M321" s="33">
        <v>0</v>
      </c>
      <c r="N321" s="33">
        <v>0</v>
      </c>
      <c r="R321" s="29" t="str">
        <f>VLOOKUP(WNBA_TeamSeasons[[#This Row],[Team]],$Y$3:$Y$17,1,FALSE)</f>
        <v>Portland Fire</v>
      </c>
    </row>
    <row r="322" spans="1:18" x14ac:dyDescent="0.25">
      <c r="A322" s="27">
        <v>2001</v>
      </c>
      <c r="B322" t="s">
        <v>715</v>
      </c>
      <c r="C322" t="s">
        <v>730</v>
      </c>
      <c r="D322" s="27">
        <v>10</v>
      </c>
      <c r="E322" s="27">
        <v>22</v>
      </c>
      <c r="F322" s="24">
        <v>0.313</v>
      </c>
      <c r="G322" s="26">
        <v>18</v>
      </c>
      <c r="H322" s="25">
        <v>60</v>
      </c>
      <c r="I322" s="25">
        <v>64</v>
      </c>
      <c r="M322" s="33">
        <v>0</v>
      </c>
      <c r="N322" s="33">
        <v>0</v>
      </c>
      <c r="R322" s="29" t="str">
        <f>VLOOKUP(WNBA_TeamSeasons[[#This Row],[Team]],$Y$3:$Y$17,1,FALSE)</f>
        <v>Seattle Storm</v>
      </c>
    </row>
    <row r="323" spans="1:18" x14ac:dyDescent="0.25">
      <c r="A323" s="27">
        <v>2000</v>
      </c>
      <c r="B323" t="s">
        <v>711</v>
      </c>
      <c r="C323" t="s">
        <v>729</v>
      </c>
      <c r="D323" s="27">
        <v>20</v>
      </c>
      <c r="E323" s="27">
        <v>12</v>
      </c>
      <c r="F323" s="24">
        <v>0.625</v>
      </c>
      <c r="G323" s="26">
        <v>0</v>
      </c>
      <c r="H323" s="25">
        <v>67.099999999999994</v>
      </c>
      <c r="I323" s="25">
        <v>63.6</v>
      </c>
      <c r="J323" t="s">
        <v>30</v>
      </c>
      <c r="K323" s="29" t="s">
        <v>30</v>
      </c>
      <c r="M323" s="33">
        <v>0</v>
      </c>
      <c r="N323" s="33">
        <v>2</v>
      </c>
      <c r="O323" s="29" t="s">
        <v>30</v>
      </c>
      <c r="P323" s="29" t="s">
        <v>30</v>
      </c>
      <c r="R323" s="29" t="str">
        <f>VLOOKUP(WNBA_TeamSeasons[[#This Row],[Team]],$Y$3:$Y$17,1,FALSE)</f>
        <v>New York Liberty</v>
      </c>
    </row>
    <row r="324" spans="1:18" x14ac:dyDescent="0.25">
      <c r="A324" s="27">
        <v>2000</v>
      </c>
      <c r="B324" t="s">
        <v>735</v>
      </c>
      <c r="C324" t="s">
        <v>729</v>
      </c>
      <c r="D324" s="27">
        <v>17</v>
      </c>
      <c r="E324" s="27">
        <v>15</v>
      </c>
      <c r="F324" s="24">
        <v>0.53100000000000003</v>
      </c>
      <c r="G324" s="26">
        <v>3</v>
      </c>
      <c r="H324" s="25">
        <v>68.3</v>
      </c>
      <c r="I324" s="25">
        <v>66.3</v>
      </c>
      <c r="J324" t="s">
        <v>30</v>
      </c>
      <c r="M324" s="33">
        <v>0</v>
      </c>
      <c r="N324" s="33">
        <v>0</v>
      </c>
      <c r="R324" s="29" t="str">
        <f>WNBA_TeamSeasons[[#This Row],[Team]]</f>
        <v>Cleveland Rockers</v>
      </c>
    </row>
    <row r="325" spans="1:18" x14ac:dyDescent="0.25">
      <c r="A325" s="27">
        <v>2000</v>
      </c>
      <c r="B325" t="s">
        <v>736</v>
      </c>
      <c r="C325" t="s">
        <v>729</v>
      </c>
      <c r="D325" s="27">
        <v>16</v>
      </c>
      <c r="E325" s="27">
        <v>16</v>
      </c>
      <c r="F325" s="24">
        <v>0.5</v>
      </c>
      <c r="G325" s="26">
        <v>4</v>
      </c>
      <c r="H325" s="25">
        <v>69</v>
      </c>
      <c r="I325" s="25">
        <v>69.8</v>
      </c>
      <c r="J325" t="s">
        <v>30</v>
      </c>
      <c r="M325" s="33">
        <v>0</v>
      </c>
      <c r="N325" s="33">
        <v>0</v>
      </c>
      <c r="R325" s="29" t="s">
        <v>713</v>
      </c>
    </row>
    <row r="326" spans="1:18" x14ac:dyDescent="0.25">
      <c r="A326" s="27">
        <v>2000</v>
      </c>
      <c r="B326" t="s">
        <v>716</v>
      </c>
      <c r="C326" t="s">
        <v>729</v>
      </c>
      <c r="D326" s="27">
        <v>14</v>
      </c>
      <c r="E326" s="27">
        <v>18</v>
      </c>
      <c r="F326" s="24">
        <v>0.438</v>
      </c>
      <c r="G326" s="26">
        <v>6</v>
      </c>
      <c r="H326" s="25">
        <v>68</v>
      </c>
      <c r="I326" s="25">
        <v>69.400000000000006</v>
      </c>
      <c r="J326" t="s">
        <v>30</v>
      </c>
      <c r="M326" s="33">
        <v>0</v>
      </c>
      <c r="N326" s="33">
        <v>0</v>
      </c>
      <c r="R326" s="29" t="str">
        <f>VLOOKUP(WNBA_TeamSeasons[[#This Row],[Team]],$Y$3:$Y$17,1,FALSE)</f>
        <v>Washington Mystics</v>
      </c>
    </row>
    <row r="327" spans="1:18" x14ac:dyDescent="0.25">
      <c r="A327" s="27">
        <v>2000</v>
      </c>
      <c r="B327" t="s">
        <v>720</v>
      </c>
      <c r="C327" t="s">
        <v>729</v>
      </c>
      <c r="D327" s="27">
        <v>14</v>
      </c>
      <c r="E327" s="27">
        <v>18</v>
      </c>
      <c r="F327" s="24">
        <v>0.438</v>
      </c>
      <c r="G327" s="26">
        <v>6</v>
      </c>
      <c r="H327" s="25">
        <v>72.8</v>
      </c>
      <c r="I327" s="25">
        <v>75.8</v>
      </c>
      <c r="M327" s="33">
        <v>0</v>
      </c>
      <c r="N327" s="33">
        <v>0</v>
      </c>
      <c r="R327" s="29" t="s">
        <v>732</v>
      </c>
    </row>
    <row r="328" spans="1:18" x14ac:dyDescent="0.25">
      <c r="A328" s="27">
        <v>2000</v>
      </c>
      <c r="B328" t="s">
        <v>737</v>
      </c>
      <c r="C328" t="s">
        <v>729</v>
      </c>
      <c r="D328" s="27">
        <v>13</v>
      </c>
      <c r="E328" s="27">
        <v>19</v>
      </c>
      <c r="F328" s="24">
        <v>0.40600000000000003</v>
      </c>
      <c r="G328" s="26">
        <v>7</v>
      </c>
      <c r="H328" s="25">
        <v>57.2</v>
      </c>
      <c r="I328" s="25">
        <v>62.5</v>
      </c>
      <c r="M328" s="33">
        <v>0</v>
      </c>
      <c r="N328" s="33">
        <v>0</v>
      </c>
      <c r="R328" s="29" t="str">
        <f>WNBA_TeamSeasons[[#This Row],[Team]]</f>
        <v>Miami Sol</v>
      </c>
    </row>
    <row r="329" spans="1:18" x14ac:dyDescent="0.25">
      <c r="A329" s="27">
        <v>2000</v>
      </c>
      <c r="B329" t="s">
        <v>718</v>
      </c>
      <c r="C329" t="s">
        <v>729</v>
      </c>
      <c r="D329" s="27">
        <v>9</v>
      </c>
      <c r="E329" s="27">
        <v>23</v>
      </c>
      <c r="F329" s="24">
        <v>0.28100000000000003</v>
      </c>
      <c r="G329" s="26">
        <v>11</v>
      </c>
      <c r="H329" s="25">
        <v>69.2</v>
      </c>
      <c r="I329" s="25">
        <v>71.599999999999994</v>
      </c>
      <c r="M329" s="33">
        <v>0</v>
      </c>
      <c r="N329" s="33">
        <v>0</v>
      </c>
      <c r="R329" s="29" t="str">
        <f>VLOOKUP(WNBA_TeamSeasons[[#This Row],[Team]],$Y$3:$Y$17,1,FALSE)</f>
        <v>Indiana Fever</v>
      </c>
    </row>
    <row r="330" spans="1:18" x14ac:dyDescent="0.25">
      <c r="A330" s="27">
        <v>2000</v>
      </c>
      <c r="B330" t="s">
        <v>723</v>
      </c>
      <c r="C330" t="s">
        <v>729</v>
      </c>
      <c r="D330" s="27">
        <v>8</v>
      </c>
      <c r="E330" s="27">
        <v>24</v>
      </c>
      <c r="F330" s="24">
        <v>0.25</v>
      </c>
      <c r="G330" s="26">
        <v>12</v>
      </c>
      <c r="H330" s="25">
        <v>68.3</v>
      </c>
      <c r="I330" s="25">
        <v>75.900000000000006</v>
      </c>
      <c r="M330" s="33">
        <v>0</v>
      </c>
      <c r="N330" s="33">
        <v>0</v>
      </c>
      <c r="R330" s="29" t="str">
        <f>WNBA_TeamSeasons[[#This Row],[Team]]</f>
        <v>Charlotte Sting</v>
      </c>
    </row>
    <row r="331" spans="1:18" x14ac:dyDescent="0.25">
      <c r="A331" s="27">
        <v>2000</v>
      </c>
      <c r="B331" t="s">
        <v>717</v>
      </c>
      <c r="C331" t="s">
        <v>730</v>
      </c>
      <c r="D331" s="27">
        <v>28</v>
      </c>
      <c r="E331" s="27">
        <v>4</v>
      </c>
      <c r="F331" s="24">
        <v>0.875</v>
      </c>
      <c r="G331" s="26">
        <v>0</v>
      </c>
      <c r="H331" s="25">
        <v>75.5</v>
      </c>
      <c r="I331" s="25">
        <v>67.8</v>
      </c>
      <c r="J331" t="s">
        <v>30</v>
      </c>
      <c r="K331" s="29" t="s">
        <v>30</v>
      </c>
      <c r="L331" s="29" t="s">
        <v>30</v>
      </c>
      <c r="M331" s="33">
        <v>0</v>
      </c>
      <c r="N331" s="33">
        <v>0</v>
      </c>
      <c r="R331" s="29" t="str">
        <f>VLOOKUP(WNBA_TeamSeasons[[#This Row],[Team]],$Y$3:$Y$17,1,FALSE)</f>
        <v>Los Angeles Sparks</v>
      </c>
    </row>
    <row r="332" spans="1:18" x14ac:dyDescent="0.25">
      <c r="A332" s="27">
        <v>2000</v>
      </c>
      <c r="B332" t="s">
        <v>724</v>
      </c>
      <c r="C332" t="s">
        <v>730</v>
      </c>
      <c r="D332" s="27">
        <v>27</v>
      </c>
      <c r="E332" s="27">
        <v>5</v>
      </c>
      <c r="F332" s="24">
        <v>0.84399999999999997</v>
      </c>
      <c r="G332" s="26">
        <v>1</v>
      </c>
      <c r="H332" s="25">
        <v>77.3</v>
      </c>
      <c r="I332" s="25">
        <v>64.599999999999994</v>
      </c>
      <c r="J332" t="s">
        <v>30</v>
      </c>
      <c r="M332" s="33">
        <v>2</v>
      </c>
      <c r="N332" s="33">
        <v>0</v>
      </c>
      <c r="O332" s="29" t="s">
        <v>30</v>
      </c>
      <c r="P332" s="29" t="s">
        <v>30</v>
      </c>
      <c r="Q332" s="29" t="s">
        <v>30</v>
      </c>
      <c r="R332" s="29" t="str">
        <f>WNBA_TeamSeasons[[#This Row],[Team]]</f>
        <v>Houston Comets</v>
      </c>
    </row>
    <row r="333" spans="1:18" x14ac:dyDescent="0.25">
      <c r="A333" s="27">
        <v>2000</v>
      </c>
      <c r="B333" t="s">
        <v>722</v>
      </c>
      <c r="C333" t="s">
        <v>730</v>
      </c>
      <c r="D333" s="27">
        <v>21</v>
      </c>
      <c r="E333" s="27">
        <v>11</v>
      </c>
      <c r="F333" s="24">
        <v>0.65600000000000003</v>
      </c>
      <c r="G333" s="26">
        <v>7</v>
      </c>
      <c r="H333" s="25">
        <v>73.2</v>
      </c>
      <c r="I333" s="25">
        <v>68</v>
      </c>
      <c r="J333" t="s">
        <v>30</v>
      </c>
      <c r="M333" s="33">
        <v>0</v>
      </c>
      <c r="N333" s="33">
        <v>0</v>
      </c>
      <c r="R333" s="29" t="str">
        <f>WNBA_TeamSeasons[[#This Row],[Team]]</f>
        <v>Sacramento Monarchs</v>
      </c>
    </row>
    <row r="334" spans="1:18" x14ac:dyDescent="0.25">
      <c r="A334" s="27">
        <v>2000</v>
      </c>
      <c r="B334" t="s">
        <v>710</v>
      </c>
      <c r="C334" t="s">
        <v>730</v>
      </c>
      <c r="D334" s="27">
        <v>20</v>
      </c>
      <c r="E334" s="27">
        <v>12</v>
      </c>
      <c r="F334" s="24">
        <v>0.625</v>
      </c>
      <c r="G334" s="26">
        <v>8</v>
      </c>
      <c r="H334" s="25">
        <v>70.099999999999994</v>
      </c>
      <c r="I334" s="25">
        <v>65.7</v>
      </c>
      <c r="J334" t="s">
        <v>30</v>
      </c>
      <c r="M334" s="33">
        <v>0</v>
      </c>
      <c r="N334" s="33">
        <v>0</v>
      </c>
      <c r="R334" s="29" t="str">
        <f>VLOOKUP(WNBA_TeamSeasons[[#This Row],[Team]],$Y$3:$Y$17,1,FALSE)</f>
        <v>Phoenix Mercury</v>
      </c>
    </row>
    <row r="335" spans="1:18" x14ac:dyDescent="0.25">
      <c r="A335" s="27">
        <v>2000</v>
      </c>
      <c r="B335" t="s">
        <v>738</v>
      </c>
      <c r="C335" t="s">
        <v>730</v>
      </c>
      <c r="D335" s="27">
        <v>18</v>
      </c>
      <c r="E335" s="27">
        <v>14</v>
      </c>
      <c r="F335" s="24">
        <v>0.56299999999999994</v>
      </c>
      <c r="G335" s="26">
        <v>10</v>
      </c>
      <c r="H335" s="25">
        <v>75.400000000000006</v>
      </c>
      <c r="I335" s="25">
        <v>75.2</v>
      </c>
      <c r="M335" s="33">
        <v>0</v>
      </c>
      <c r="N335" s="33">
        <v>0</v>
      </c>
      <c r="R335" s="29" t="s">
        <v>709</v>
      </c>
    </row>
    <row r="336" spans="1:18" x14ac:dyDescent="0.25">
      <c r="A336" s="27">
        <v>2000</v>
      </c>
      <c r="B336" t="s">
        <v>712</v>
      </c>
      <c r="C336" t="s">
        <v>730</v>
      </c>
      <c r="D336" s="27">
        <v>15</v>
      </c>
      <c r="E336" s="27">
        <v>17</v>
      </c>
      <c r="F336" s="24">
        <v>0.46899999999999997</v>
      </c>
      <c r="G336" s="26">
        <v>13</v>
      </c>
      <c r="H336" s="25">
        <v>68.5</v>
      </c>
      <c r="I336" s="25">
        <v>68.400000000000006</v>
      </c>
      <c r="M336" s="33">
        <v>0</v>
      </c>
      <c r="N336" s="33">
        <v>0</v>
      </c>
      <c r="R336" s="29" t="str">
        <f>VLOOKUP(WNBA_TeamSeasons[[#This Row],[Team]],$Y$3:$Y$17,1,FALSE)</f>
        <v>Minnesota Lynx</v>
      </c>
    </row>
    <row r="337" spans="1:18" x14ac:dyDescent="0.25">
      <c r="A337" s="27">
        <v>2000</v>
      </c>
      <c r="B337" t="s">
        <v>739</v>
      </c>
      <c r="C337" t="s">
        <v>730</v>
      </c>
      <c r="D337" s="27">
        <v>10</v>
      </c>
      <c r="E337" s="27">
        <v>22</v>
      </c>
      <c r="F337" s="24">
        <v>0.313</v>
      </c>
      <c r="G337" s="26">
        <v>18</v>
      </c>
      <c r="H337" s="25">
        <v>67.3</v>
      </c>
      <c r="I337" s="25">
        <v>72</v>
      </c>
      <c r="M337" s="33">
        <v>0</v>
      </c>
      <c r="N337" s="33">
        <v>0</v>
      </c>
      <c r="R337" s="29" t="str">
        <f>VLOOKUP(WNBA_TeamSeasons[[#This Row],[Team]],$Y$3:$Y$17,1,FALSE)</f>
        <v>Portland Fire</v>
      </c>
    </row>
    <row r="338" spans="1:18" x14ac:dyDescent="0.25">
      <c r="A338" s="27">
        <v>2000</v>
      </c>
      <c r="B338" t="s">
        <v>715</v>
      </c>
      <c r="C338" t="s">
        <v>730</v>
      </c>
      <c r="D338" s="27">
        <v>6</v>
      </c>
      <c r="E338" s="27">
        <v>26</v>
      </c>
      <c r="F338" s="24">
        <v>0.188</v>
      </c>
      <c r="G338" s="26">
        <v>22</v>
      </c>
      <c r="H338" s="25">
        <v>56.9</v>
      </c>
      <c r="I338" s="25">
        <v>67.8</v>
      </c>
      <c r="M338" s="33">
        <v>0</v>
      </c>
      <c r="N338" s="33">
        <v>0</v>
      </c>
      <c r="R338" s="29" t="str">
        <f>VLOOKUP(WNBA_TeamSeasons[[#This Row],[Team]],$Y$3:$Y$17,1,FALSE)</f>
        <v>Seattle Storm</v>
      </c>
    </row>
    <row r="339" spans="1:18" x14ac:dyDescent="0.25">
      <c r="A339" s="27">
        <v>1999</v>
      </c>
      <c r="B339" t="s">
        <v>711</v>
      </c>
      <c r="C339" t="s">
        <v>729</v>
      </c>
      <c r="D339" s="27">
        <v>18</v>
      </c>
      <c r="E339" s="27">
        <v>14</v>
      </c>
      <c r="F339" s="24">
        <v>0.56299999999999994</v>
      </c>
      <c r="G339" s="26">
        <v>0</v>
      </c>
      <c r="H339" s="25">
        <v>67.8</v>
      </c>
      <c r="I339" s="25">
        <v>65.3</v>
      </c>
      <c r="J339" t="s">
        <v>30</v>
      </c>
      <c r="K339" s="29" t="s">
        <v>30</v>
      </c>
      <c r="M339" s="33">
        <v>1</v>
      </c>
      <c r="N339" s="33">
        <v>2</v>
      </c>
      <c r="O339" s="29" t="s">
        <v>30</v>
      </c>
      <c r="P339" s="29" t="s">
        <v>30</v>
      </c>
      <c r="R339" s="29" t="str">
        <f>VLOOKUP(WNBA_TeamSeasons[[#This Row],[Team]],$Y$3:$Y$17,1,FALSE)</f>
        <v>New York Liberty</v>
      </c>
    </row>
    <row r="340" spans="1:18" x14ac:dyDescent="0.25">
      <c r="A340" s="27">
        <v>1999</v>
      </c>
      <c r="B340" t="s">
        <v>723</v>
      </c>
      <c r="C340" t="s">
        <v>729</v>
      </c>
      <c r="D340" s="27">
        <v>15</v>
      </c>
      <c r="E340" s="27">
        <v>17</v>
      </c>
      <c r="F340" s="24">
        <v>0.46899999999999997</v>
      </c>
      <c r="G340" s="26">
        <v>3</v>
      </c>
      <c r="H340" s="25">
        <v>65.8</v>
      </c>
      <c r="I340" s="25">
        <v>66.900000000000006</v>
      </c>
      <c r="J340" t="s">
        <v>30</v>
      </c>
      <c r="M340" s="33">
        <v>0</v>
      </c>
      <c r="N340" s="33">
        <v>0</v>
      </c>
      <c r="R340" s="29" t="str">
        <f>WNBA_TeamSeasons[[#This Row],[Team]]</f>
        <v>Charlotte Sting</v>
      </c>
    </row>
    <row r="341" spans="1:18" x14ac:dyDescent="0.25">
      <c r="A341" s="27">
        <v>1999</v>
      </c>
      <c r="B341" t="s">
        <v>720</v>
      </c>
      <c r="C341" t="s">
        <v>729</v>
      </c>
      <c r="D341" s="27">
        <v>15</v>
      </c>
      <c r="E341" s="27">
        <v>17</v>
      </c>
      <c r="F341" s="24">
        <v>0.46899999999999997</v>
      </c>
      <c r="G341" s="26">
        <v>3</v>
      </c>
      <c r="H341" s="25">
        <v>70</v>
      </c>
      <c r="I341" s="25">
        <v>72</v>
      </c>
      <c r="J341" t="s">
        <v>30</v>
      </c>
      <c r="M341" s="33">
        <v>0</v>
      </c>
      <c r="N341" s="33">
        <v>0</v>
      </c>
      <c r="R341" s="29" t="s">
        <v>732</v>
      </c>
    </row>
    <row r="342" spans="1:18" x14ac:dyDescent="0.25">
      <c r="A342" s="27">
        <v>1999</v>
      </c>
      <c r="B342" t="s">
        <v>736</v>
      </c>
      <c r="C342" t="s">
        <v>729</v>
      </c>
      <c r="D342" s="27">
        <v>15</v>
      </c>
      <c r="E342" s="27">
        <v>17</v>
      </c>
      <c r="F342" s="24">
        <v>0.46899999999999997</v>
      </c>
      <c r="G342" s="26">
        <v>3</v>
      </c>
      <c r="H342" s="25">
        <v>68.900000000000006</v>
      </c>
      <c r="I342" s="25">
        <v>69.3</v>
      </c>
      <c r="M342" s="33">
        <v>0</v>
      </c>
      <c r="N342" s="33">
        <v>0</v>
      </c>
      <c r="R342" s="29" t="s">
        <v>713</v>
      </c>
    </row>
    <row r="343" spans="1:18" x14ac:dyDescent="0.25">
      <c r="A343" s="27">
        <v>1999</v>
      </c>
      <c r="B343" t="s">
        <v>716</v>
      </c>
      <c r="C343" t="s">
        <v>729</v>
      </c>
      <c r="D343" s="27">
        <v>12</v>
      </c>
      <c r="E343" s="27">
        <v>20</v>
      </c>
      <c r="F343" s="24">
        <v>0.375</v>
      </c>
      <c r="G343" s="26">
        <v>6</v>
      </c>
      <c r="H343" s="25">
        <v>65.599999999999994</v>
      </c>
      <c r="I343" s="25">
        <v>70.2</v>
      </c>
      <c r="M343" s="33">
        <v>0</v>
      </c>
      <c r="N343" s="33">
        <v>0</v>
      </c>
      <c r="R343" s="29" t="str">
        <f>VLOOKUP(WNBA_TeamSeasons[[#This Row],[Team]],$Y$3:$Y$17,1,FALSE)</f>
        <v>Washington Mystics</v>
      </c>
    </row>
    <row r="344" spans="1:18" x14ac:dyDescent="0.25">
      <c r="A344" s="27">
        <v>1999</v>
      </c>
      <c r="B344" t="s">
        <v>735</v>
      </c>
      <c r="C344" t="s">
        <v>729</v>
      </c>
      <c r="D344" s="27">
        <v>7</v>
      </c>
      <c r="E344" s="27">
        <v>25</v>
      </c>
      <c r="F344" s="24">
        <v>0.219</v>
      </c>
      <c r="G344" s="26">
        <v>11</v>
      </c>
      <c r="H344" s="25">
        <v>62.9</v>
      </c>
      <c r="I344" s="25">
        <v>69.3</v>
      </c>
      <c r="M344" s="33">
        <v>0</v>
      </c>
      <c r="N344" s="33">
        <v>0</v>
      </c>
      <c r="R344" s="29" t="str">
        <f>WNBA_TeamSeasons[[#This Row],[Team]]</f>
        <v>Cleveland Rockers</v>
      </c>
    </row>
    <row r="345" spans="1:18" x14ac:dyDescent="0.25">
      <c r="A345" s="27">
        <v>1999</v>
      </c>
      <c r="B345" t="s">
        <v>724</v>
      </c>
      <c r="C345" t="s">
        <v>730</v>
      </c>
      <c r="D345" s="27">
        <v>26</v>
      </c>
      <c r="E345" s="27">
        <v>6</v>
      </c>
      <c r="F345" s="24">
        <v>0.81299999999999994</v>
      </c>
      <c r="G345" s="26">
        <v>0</v>
      </c>
      <c r="H345" s="25">
        <v>74</v>
      </c>
      <c r="I345" s="25">
        <v>64.7</v>
      </c>
      <c r="J345" t="s">
        <v>30</v>
      </c>
      <c r="K345" s="29" t="s">
        <v>30</v>
      </c>
      <c r="L345" s="29" t="s">
        <v>30</v>
      </c>
      <c r="M345" s="33">
        <v>2</v>
      </c>
      <c r="N345" s="33">
        <v>1</v>
      </c>
      <c r="O345" s="29" t="s">
        <v>30</v>
      </c>
      <c r="P345" s="29" t="s">
        <v>30</v>
      </c>
      <c r="Q345" s="29" t="s">
        <v>30</v>
      </c>
      <c r="R345" s="29" t="str">
        <f>WNBA_TeamSeasons[[#This Row],[Team]]</f>
        <v>Houston Comets</v>
      </c>
    </row>
    <row r="346" spans="1:18" x14ac:dyDescent="0.25">
      <c r="A346" s="27">
        <v>1999</v>
      </c>
      <c r="B346" t="s">
        <v>717</v>
      </c>
      <c r="C346" t="s">
        <v>730</v>
      </c>
      <c r="D346" s="27">
        <v>20</v>
      </c>
      <c r="E346" s="27">
        <v>12</v>
      </c>
      <c r="F346" s="24">
        <v>0.625</v>
      </c>
      <c r="G346" s="26">
        <v>6</v>
      </c>
      <c r="H346" s="25">
        <v>76.5</v>
      </c>
      <c r="I346" s="25">
        <v>72.400000000000006</v>
      </c>
      <c r="J346" t="s">
        <v>30</v>
      </c>
      <c r="M346" s="33">
        <v>0</v>
      </c>
      <c r="N346" s="33">
        <v>0</v>
      </c>
      <c r="R346" s="29" t="str">
        <f>VLOOKUP(WNBA_TeamSeasons[[#This Row],[Team]],$Y$3:$Y$17,1,FALSE)</f>
        <v>Los Angeles Sparks</v>
      </c>
    </row>
    <row r="347" spans="1:18" x14ac:dyDescent="0.25">
      <c r="A347" s="27">
        <v>1999</v>
      </c>
      <c r="B347" t="s">
        <v>722</v>
      </c>
      <c r="C347" t="s">
        <v>730</v>
      </c>
      <c r="D347" s="27">
        <v>19</v>
      </c>
      <c r="E347" s="27">
        <v>13</v>
      </c>
      <c r="F347" s="24">
        <v>0.59399999999999997</v>
      </c>
      <c r="G347" s="26">
        <v>7</v>
      </c>
      <c r="H347" s="25">
        <v>74.8</v>
      </c>
      <c r="I347" s="25">
        <v>70.599999999999994</v>
      </c>
      <c r="J347" t="s">
        <v>30</v>
      </c>
      <c r="M347" s="33">
        <v>0</v>
      </c>
      <c r="N347" s="33">
        <v>0</v>
      </c>
      <c r="R347" s="29" t="str">
        <f>WNBA_TeamSeasons[[#This Row],[Team]]</f>
        <v>Sacramento Monarchs</v>
      </c>
    </row>
    <row r="348" spans="1:18" x14ac:dyDescent="0.25">
      <c r="A348" s="27">
        <v>1999</v>
      </c>
      <c r="B348" t="s">
        <v>712</v>
      </c>
      <c r="C348" t="s">
        <v>730</v>
      </c>
      <c r="D348" s="27">
        <v>15</v>
      </c>
      <c r="E348" s="27">
        <v>17</v>
      </c>
      <c r="F348" s="24">
        <v>0.46899999999999997</v>
      </c>
      <c r="G348" s="26">
        <v>11</v>
      </c>
      <c r="H348" s="25">
        <v>63.6</v>
      </c>
      <c r="I348" s="25">
        <v>66</v>
      </c>
      <c r="M348" s="33">
        <v>0</v>
      </c>
      <c r="N348" s="33">
        <v>0</v>
      </c>
      <c r="R348" s="29" t="str">
        <f>VLOOKUP(WNBA_TeamSeasons[[#This Row],[Team]],$Y$3:$Y$17,1,FALSE)</f>
        <v>Minnesota Lynx</v>
      </c>
    </row>
    <row r="349" spans="1:18" x14ac:dyDescent="0.25">
      <c r="A349" s="27">
        <v>1999</v>
      </c>
      <c r="B349" t="s">
        <v>710</v>
      </c>
      <c r="C349" t="s">
        <v>730</v>
      </c>
      <c r="D349" s="27">
        <v>15</v>
      </c>
      <c r="E349" s="27">
        <v>17</v>
      </c>
      <c r="F349" s="24">
        <v>0.46899999999999997</v>
      </c>
      <c r="G349" s="26">
        <v>11</v>
      </c>
      <c r="H349" s="25">
        <v>68</v>
      </c>
      <c r="I349" s="25">
        <v>68.2</v>
      </c>
      <c r="M349" s="33">
        <v>0</v>
      </c>
      <c r="N349" s="33">
        <v>0</v>
      </c>
      <c r="R349" s="29" t="str">
        <f>VLOOKUP(WNBA_TeamSeasons[[#This Row],[Team]],$Y$3:$Y$17,1,FALSE)</f>
        <v>Phoenix Mercury</v>
      </c>
    </row>
    <row r="350" spans="1:18" x14ac:dyDescent="0.25">
      <c r="A350" s="27">
        <v>1999</v>
      </c>
      <c r="B350" t="s">
        <v>738</v>
      </c>
      <c r="C350" t="s">
        <v>730</v>
      </c>
      <c r="D350" s="27">
        <v>15</v>
      </c>
      <c r="E350" s="27">
        <v>17</v>
      </c>
      <c r="F350" s="24">
        <v>0.46899999999999997</v>
      </c>
      <c r="G350" s="26">
        <v>11</v>
      </c>
      <c r="H350" s="25">
        <v>74</v>
      </c>
      <c r="I350" s="25">
        <v>77.099999999999994</v>
      </c>
      <c r="M350" s="33">
        <v>0</v>
      </c>
      <c r="N350" s="33">
        <v>0</v>
      </c>
      <c r="R350" s="29" t="s">
        <v>709</v>
      </c>
    </row>
    <row r="351" spans="1:18" x14ac:dyDescent="0.25">
      <c r="A351" s="27">
        <v>1998</v>
      </c>
      <c r="B351" t="s">
        <v>735</v>
      </c>
      <c r="C351" t="s">
        <v>729</v>
      </c>
      <c r="D351" s="27">
        <v>20</v>
      </c>
      <c r="E351" s="27">
        <v>10</v>
      </c>
      <c r="F351" s="24">
        <v>0.66700000000000004</v>
      </c>
      <c r="G351" s="26">
        <v>0</v>
      </c>
      <c r="H351" s="25">
        <v>73.2</v>
      </c>
      <c r="I351" s="25">
        <v>70.3</v>
      </c>
      <c r="J351" t="s">
        <v>30</v>
      </c>
      <c r="K351" s="29" t="s">
        <v>30</v>
      </c>
      <c r="M351" s="33">
        <v>1</v>
      </c>
      <c r="N351" s="33">
        <v>2</v>
      </c>
      <c r="O351" s="29" t="s">
        <v>30</v>
      </c>
      <c r="R351" s="29" t="str">
        <f>WNBA_TeamSeasons[[#This Row],[Team]]</f>
        <v>Cleveland Rockers</v>
      </c>
    </row>
    <row r="352" spans="1:18" x14ac:dyDescent="0.25">
      <c r="A352" s="27">
        <v>1998</v>
      </c>
      <c r="B352" t="s">
        <v>723</v>
      </c>
      <c r="C352" t="s">
        <v>729</v>
      </c>
      <c r="D352" s="27">
        <v>18</v>
      </c>
      <c r="E352" s="27">
        <v>12</v>
      </c>
      <c r="F352" s="24">
        <v>0.6</v>
      </c>
      <c r="G352" s="26">
        <v>2</v>
      </c>
      <c r="H352" s="25">
        <v>71.400000000000006</v>
      </c>
      <c r="I352" s="25">
        <v>68.400000000000006</v>
      </c>
      <c r="J352" t="s">
        <v>30</v>
      </c>
      <c r="M352" s="33">
        <v>0</v>
      </c>
      <c r="N352" s="33">
        <v>2</v>
      </c>
      <c r="O352" s="29" t="s">
        <v>30</v>
      </c>
      <c r="R352" s="29" t="str">
        <f>WNBA_TeamSeasons[[#This Row],[Team]]</f>
        <v>Charlotte Sting</v>
      </c>
    </row>
    <row r="353" spans="1:18" x14ac:dyDescent="0.25">
      <c r="A353" s="27">
        <v>1998</v>
      </c>
      <c r="B353" t="s">
        <v>711</v>
      </c>
      <c r="C353" t="s">
        <v>729</v>
      </c>
      <c r="D353" s="27">
        <v>18</v>
      </c>
      <c r="E353" s="27">
        <v>12</v>
      </c>
      <c r="F353" s="24">
        <v>0.6</v>
      </c>
      <c r="G353" s="26">
        <v>2</v>
      </c>
      <c r="H353" s="25">
        <v>68.599999999999994</v>
      </c>
      <c r="I353" s="25">
        <v>65.5</v>
      </c>
      <c r="M353" s="33">
        <v>0</v>
      </c>
      <c r="N353" s="33">
        <v>0</v>
      </c>
      <c r="R353" s="29" t="str">
        <f>VLOOKUP(WNBA_TeamSeasons[[#This Row],[Team]],$Y$3:$Y$17,1,FALSE)</f>
        <v>New York Liberty</v>
      </c>
    </row>
    <row r="354" spans="1:18" x14ac:dyDescent="0.25">
      <c r="A354" s="27">
        <v>1998</v>
      </c>
      <c r="B354" t="s">
        <v>720</v>
      </c>
      <c r="C354" t="s">
        <v>729</v>
      </c>
      <c r="D354" s="27">
        <v>17</v>
      </c>
      <c r="E354" s="27">
        <v>13</v>
      </c>
      <c r="F354" s="24">
        <v>0.56699999999999995</v>
      </c>
      <c r="G354" s="26">
        <v>3</v>
      </c>
      <c r="H354" s="25">
        <v>69.599999999999994</v>
      </c>
      <c r="I354" s="25">
        <v>69.3</v>
      </c>
      <c r="M354" s="33">
        <v>0</v>
      </c>
      <c r="N354" s="33">
        <v>0</v>
      </c>
      <c r="R354" s="29" t="s">
        <v>732</v>
      </c>
    </row>
    <row r="355" spans="1:18" x14ac:dyDescent="0.25">
      <c r="A355" s="27">
        <v>1998</v>
      </c>
      <c r="B355" t="s">
        <v>716</v>
      </c>
      <c r="C355" t="s">
        <v>729</v>
      </c>
      <c r="D355" s="27">
        <v>3</v>
      </c>
      <c r="E355" s="27">
        <v>27</v>
      </c>
      <c r="F355" s="24">
        <v>0.1</v>
      </c>
      <c r="G355" s="26">
        <v>17</v>
      </c>
      <c r="H355" s="25">
        <v>65.099999999999994</v>
      </c>
      <c r="I355" s="25">
        <v>80.5</v>
      </c>
      <c r="M355" s="33">
        <v>0</v>
      </c>
      <c r="N355" s="33">
        <v>0</v>
      </c>
      <c r="R355" s="29" t="str">
        <f>VLOOKUP(WNBA_TeamSeasons[[#This Row],[Team]],$Y$3:$Y$17,1,FALSE)</f>
        <v>Washington Mystics</v>
      </c>
    </row>
    <row r="356" spans="1:18" x14ac:dyDescent="0.25">
      <c r="A356" s="27">
        <v>1998</v>
      </c>
      <c r="B356" t="s">
        <v>724</v>
      </c>
      <c r="C356" t="s">
        <v>730</v>
      </c>
      <c r="D356" s="27">
        <v>27</v>
      </c>
      <c r="E356" s="27">
        <v>3</v>
      </c>
      <c r="F356" s="24">
        <v>0.9</v>
      </c>
      <c r="G356" s="26">
        <v>0</v>
      </c>
      <c r="H356" s="25">
        <v>76.2</v>
      </c>
      <c r="I356" s="25">
        <v>63.6</v>
      </c>
      <c r="J356" t="s">
        <v>30</v>
      </c>
      <c r="K356" s="29" t="s">
        <v>30</v>
      </c>
      <c r="L356" s="29" t="s">
        <v>30</v>
      </c>
      <c r="M356" s="33">
        <v>4</v>
      </c>
      <c r="N356" s="33">
        <v>1</v>
      </c>
      <c r="O356" s="29" t="s">
        <v>30</v>
      </c>
      <c r="P356" s="29" t="s">
        <v>30</v>
      </c>
      <c r="Q356" s="29" t="s">
        <v>30</v>
      </c>
      <c r="R356" s="29" t="str">
        <f>WNBA_TeamSeasons[[#This Row],[Team]]</f>
        <v>Houston Comets</v>
      </c>
    </row>
    <row r="357" spans="1:18" x14ac:dyDescent="0.25">
      <c r="A357" s="27">
        <v>1998</v>
      </c>
      <c r="B357" t="s">
        <v>710</v>
      </c>
      <c r="C357" t="s">
        <v>730</v>
      </c>
      <c r="D357" s="27">
        <v>19</v>
      </c>
      <c r="E357" s="27">
        <v>11</v>
      </c>
      <c r="F357" s="24">
        <v>0.63300000000000001</v>
      </c>
      <c r="G357" s="26">
        <v>8</v>
      </c>
      <c r="H357" s="25">
        <v>73.900000000000006</v>
      </c>
      <c r="I357" s="25">
        <v>67.5</v>
      </c>
      <c r="J357" t="s">
        <v>30</v>
      </c>
      <c r="M357" s="33">
        <v>3</v>
      </c>
      <c r="N357" s="33">
        <v>3</v>
      </c>
      <c r="O357" s="29" t="s">
        <v>30</v>
      </c>
      <c r="P357" s="29" t="s">
        <v>30</v>
      </c>
      <c r="R357" s="29" t="str">
        <f>VLOOKUP(WNBA_TeamSeasons[[#This Row],[Team]],$Y$3:$Y$17,1,FALSE)</f>
        <v>Phoenix Mercury</v>
      </c>
    </row>
    <row r="358" spans="1:18" x14ac:dyDescent="0.25">
      <c r="A358" s="27">
        <v>1998</v>
      </c>
      <c r="B358" t="s">
        <v>717</v>
      </c>
      <c r="C358" t="s">
        <v>730</v>
      </c>
      <c r="D358" s="27">
        <v>12</v>
      </c>
      <c r="E358" s="27">
        <v>18</v>
      </c>
      <c r="F358" s="24">
        <v>0.4</v>
      </c>
      <c r="G358" s="26">
        <v>15</v>
      </c>
      <c r="H358" s="25">
        <v>71.599999999999994</v>
      </c>
      <c r="I358" s="25">
        <v>72.3</v>
      </c>
      <c r="M358" s="33">
        <v>0</v>
      </c>
      <c r="N358" s="33">
        <v>0</v>
      </c>
      <c r="R358" s="29" t="str">
        <f>VLOOKUP(WNBA_TeamSeasons[[#This Row],[Team]],$Y$3:$Y$17,1,FALSE)</f>
        <v>Los Angeles Sparks</v>
      </c>
    </row>
    <row r="359" spans="1:18" x14ac:dyDescent="0.25">
      <c r="A359" s="27">
        <v>1998</v>
      </c>
      <c r="B359" t="s">
        <v>722</v>
      </c>
      <c r="C359" t="s">
        <v>730</v>
      </c>
      <c r="D359" s="27">
        <v>8</v>
      </c>
      <c r="E359" s="27">
        <v>22</v>
      </c>
      <c r="F359" s="24">
        <v>0.26700000000000002</v>
      </c>
      <c r="G359" s="26">
        <v>19</v>
      </c>
      <c r="H359" s="25">
        <v>63.9</v>
      </c>
      <c r="I359" s="25">
        <v>69.400000000000006</v>
      </c>
      <c r="M359" s="33">
        <v>0</v>
      </c>
      <c r="N359" s="33">
        <v>0</v>
      </c>
      <c r="R359" s="29" t="str">
        <f>WNBA_TeamSeasons[[#This Row],[Team]]</f>
        <v>Sacramento Monarchs</v>
      </c>
    </row>
    <row r="360" spans="1:18" x14ac:dyDescent="0.25">
      <c r="A360" s="27">
        <v>1998</v>
      </c>
      <c r="B360" t="s">
        <v>738</v>
      </c>
      <c r="C360" t="s">
        <v>730</v>
      </c>
      <c r="D360" s="27">
        <v>8</v>
      </c>
      <c r="E360" s="27">
        <v>22</v>
      </c>
      <c r="F360" s="24">
        <v>0.26700000000000002</v>
      </c>
      <c r="G360" s="26">
        <v>19</v>
      </c>
      <c r="H360" s="25">
        <v>69.8</v>
      </c>
      <c r="I360" s="25">
        <v>76.5</v>
      </c>
      <c r="M360" s="33">
        <v>0</v>
      </c>
      <c r="N360" s="33">
        <v>0</v>
      </c>
      <c r="R360" s="29" t="s">
        <v>709</v>
      </c>
    </row>
    <row r="361" spans="1:18" x14ac:dyDescent="0.25">
      <c r="A361" s="27">
        <v>1997</v>
      </c>
      <c r="B361" t="s">
        <v>724</v>
      </c>
      <c r="C361" t="s">
        <v>729</v>
      </c>
      <c r="D361" s="27">
        <v>18</v>
      </c>
      <c r="E361" s="27">
        <v>10</v>
      </c>
      <c r="F361" s="24">
        <v>0.64300000000000002</v>
      </c>
      <c r="G361" s="26">
        <v>0</v>
      </c>
      <c r="H361" s="25">
        <v>71.8</v>
      </c>
      <c r="I361" s="25">
        <v>65.5</v>
      </c>
      <c r="J361" t="s">
        <v>30</v>
      </c>
      <c r="K361" s="29" t="s">
        <v>30</v>
      </c>
      <c r="L361" s="29" t="s">
        <v>30</v>
      </c>
      <c r="M361" s="33">
        <v>2</v>
      </c>
      <c r="N361" s="33">
        <v>0</v>
      </c>
      <c r="O361" s="29" t="s">
        <v>30</v>
      </c>
      <c r="P361" s="29" t="s">
        <v>30</v>
      </c>
      <c r="Q361" s="29" t="s">
        <v>30</v>
      </c>
      <c r="R361" s="29" t="str">
        <f>WNBA_TeamSeasons[[#This Row],[Team]]</f>
        <v>Houston Comets</v>
      </c>
    </row>
    <row r="362" spans="1:18" x14ac:dyDescent="0.25">
      <c r="A362" s="27">
        <v>1997</v>
      </c>
      <c r="B362" t="s">
        <v>711</v>
      </c>
      <c r="C362" t="s">
        <v>729</v>
      </c>
      <c r="D362" s="27">
        <v>17</v>
      </c>
      <c r="E362" s="27">
        <v>11</v>
      </c>
      <c r="F362" s="24">
        <v>0.60699999999999998</v>
      </c>
      <c r="G362" s="26">
        <v>1</v>
      </c>
      <c r="H362" s="25">
        <v>68.3</v>
      </c>
      <c r="I362" s="25">
        <v>65.900000000000006</v>
      </c>
      <c r="J362" t="s">
        <v>30</v>
      </c>
      <c r="M362" s="33">
        <v>1</v>
      </c>
      <c r="N362" s="33">
        <v>1</v>
      </c>
      <c r="O362" s="29" t="s">
        <v>30</v>
      </c>
      <c r="P362" s="29" t="s">
        <v>30</v>
      </c>
      <c r="R362" s="29" t="str">
        <f>VLOOKUP(WNBA_TeamSeasons[[#This Row],[Team]],$Y$3:$Y$17,1,FALSE)</f>
        <v>New York Liberty</v>
      </c>
    </row>
    <row r="363" spans="1:18" x14ac:dyDescent="0.25">
      <c r="A363" s="27">
        <v>1997</v>
      </c>
      <c r="B363" t="s">
        <v>723</v>
      </c>
      <c r="C363" t="s">
        <v>729</v>
      </c>
      <c r="D363" s="27">
        <v>15</v>
      </c>
      <c r="E363" s="27">
        <v>13</v>
      </c>
      <c r="F363" s="24">
        <v>0.53600000000000003</v>
      </c>
      <c r="G363" s="26">
        <v>3</v>
      </c>
      <c r="H363" s="25">
        <v>67.3</v>
      </c>
      <c r="I363" s="25">
        <v>66</v>
      </c>
      <c r="J363" t="s">
        <v>30</v>
      </c>
      <c r="M363" s="33">
        <v>0</v>
      </c>
      <c r="N363" s="33">
        <v>1</v>
      </c>
      <c r="O363" s="29" t="s">
        <v>30</v>
      </c>
      <c r="R363" s="29" t="str">
        <f>WNBA_TeamSeasons[[#This Row],[Team]]</f>
        <v>Charlotte Sting</v>
      </c>
    </row>
    <row r="364" spans="1:18" x14ac:dyDescent="0.25">
      <c r="A364" s="27">
        <v>1997</v>
      </c>
      <c r="B364" t="s">
        <v>735</v>
      </c>
      <c r="C364" t="s">
        <v>729</v>
      </c>
      <c r="D364" s="27">
        <v>15</v>
      </c>
      <c r="E364" s="27">
        <v>13</v>
      </c>
      <c r="F364" s="24">
        <v>0.53600000000000003</v>
      </c>
      <c r="G364" s="26">
        <v>3</v>
      </c>
      <c r="H364" s="25">
        <v>70.2</v>
      </c>
      <c r="I364" s="25">
        <v>68.400000000000006</v>
      </c>
      <c r="M364" s="33">
        <v>0</v>
      </c>
      <c r="N364" s="33">
        <v>0</v>
      </c>
      <c r="R364" s="29" t="str">
        <f>WNBA_TeamSeasons[[#This Row],[Team]]</f>
        <v>Cleveland Rockers</v>
      </c>
    </row>
    <row r="365" spans="1:18" x14ac:dyDescent="0.25">
      <c r="A365" s="27">
        <v>1997</v>
      </c>
      <c r="B365" t="s">
        <v>710</v>
      </c>
      <c r="C365" t="s">
        <v>730</v>
      </c>
      <c r="D365" s="27">
        <v>16</v>
      </c>
      <c r="E365" s="27">
        <v>12</v>
      </c>
      <c r="F365" s="24">
        <v>0.57099999999999995</v>
      </c>
      <c r="G365" s="26">
        <v>0</v>
      </c>
      <c r="H365" s="25">
        <v>69.2</v>
      </c>
      <c r="I365" s="25">
        <v>65.2</v>
      </c>
      <c r="J365" t="s">
        <v>30</v>
      </c>
      <c r="K365" s="29" t="s">
        <v>30</v>
      </c>
      <c r="M365" s="33">
        <v>0</v>
      </c>
      <c r="N365" s="33">
        <v>1</v>
      </c>
      <c r="O365" s="29" t="s">
        <v>30</v>
      </c>
      <c r="R365" s="29" t="str">
        <f>VLOOKUP(WNBA_TeamSeasons[[#This Row],[Team]],$Y$3:$Y$17,1,FALSE)</f>
        <v>Phoenix Mercury</v>
      </c>
    </row>
    <row r="366" spans="1:18" x14ac:dyDescent="0.25">
      <c r="A366" s="27">
        <v>1997</v>
      </c>
      <c r="B366" t="s">
        <v>717</v>
      </c>
      <c r="C366" t="s">
        <v>730</v>
      </c>
      <c r="D366" s="27">
        <v>14</v>
      </c>
      <c r="E366" s="27">
        <v>14</v>
      </c>
      <c r="F366" s="24">
        <v>0.5</v>
      </c>
      <c r="G366" s="26">
        <v>2</v>
      </c>
      <c r="H366" s="25">
        <v>74</v>
      </c>
      <c r="I366" s="25">
        <v>71.8</v>
      </c>
      <c r="M366" s="33">
        <v>0</v>
      </c>
      <c r="N366" s="33">
        <v>0</v>
      </c>
      <c r="R366" s="29" t="str">
        <f>VLOOKUP(WNBA_TeamSeasons[[#This Row],[Team]],$Y$3:$Y$17,1,FALSE)</f>
        <v>Los Angeles Sparks</v>
      </c>
    </row>
    <row r="367" spans="1:18" x14ac:dyDescent="0.25">
      <c r="A367" s="27">
        <v>1997</v>
      </c>
      <c r="B367" t="s">
        <v>722</v>
      </c>
      <c r="C367" t="s">
        <v>730</v>
      </c>
      <c r="D367" s="27">
        <v>10</v>
      </c>
      <c r="E367" s="27">
        <v>18</v>
      </c>
      <c r="F367" s="24">
        <v>0.35699999999999998</v>
      </c>
      <c r="G367" s="26">
        <v>6</v>
      </c>
      <c r="H367" s="25">
        <v>67.900000000000006</v>
      </c>
      <c r="I367" s="25">
        <v>75.400000000000006</v>
      </c>
      <c r="M367" s="33">
        <v>0</v>
      </c>
      <c r="N367" s="33">
        <v>0</v>
      </c>
      <c r="R367" s="29" t="str">
        <f>WNBA_TeamSeasons[[#This Row],[Team]]</f>
        <v>Sacramento Monarchs</v>
      </c>
    </row>
    <row r="368" spans="1:18" x14ac:dyDescent="0.25">
      <c r="A368" s="27">
        <v>1997</v>
      </c>
      <c r="B368" t="s">
        <v>738</v>
      </c>
      <c r="C368" t="s">
        <v>730</v>
      </c>
      <c r="D368" s="27">
        <v>7</v>
      </c>
      <c r="E368" s="27">
        <v>21</v>
      </c>
      <c r="F368" s="24">
        <v>0.25</v>
      </c>
      <c r="G368" s="26">
        <v>9</v>
      </c>
      <c r="H368" s="25">
        <v>64.599999999999994</v>
      </c>
      <c r="I368" s="25">
        <v>75.099999999999994</v>
      </c>
      <c r="M368" s="33">
        <v>0</v>
      </c>
      <c r="N368" s="33">
        <v>0</v>
      </c>
      <c r="R368" s="29" t="s">
        <v>709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9355A-DA33-493A-90CE-7FBEA6A424DB}">
  <dimension ref="A1:E188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8" customWidth="1"/>
    <col min="2" max="2" width="32" customWidth="1"/>
    <col min="3" max="3" width="13.5703125" customWidth="1"/>
    <col min="4" max="4" width="13" style="34" customWidth="1"/>
    <col min="5" max="5" width="61.28515625" bestFit="1" customWidth="1"/>
  </cols>
  <sheetData>
    <row r="1" spans="1:5" x14ac:dyDescent="0.25">
      <c r="A1" s="38" t="s">
        <v>942</v>
      </c>
      <c r="B1" s="38" t="s">
        <v>1</v>
      </c>
      <c r="C1" s="38" t="s">
        <v>135</v>
      </c>
      <c r="D1" s="39" t="s">
        <v>941</v>
      </c>
      <c r="E1" s="38" t="s">
        <v>940</v>
      </c>
    </row>
    <row r="2" spans="1:5" x14ac:dyDescent="0.25">
      <c r="A2" s="37">
        <v>2025</v>
      </c>
      <c r="B2" s="35" t="s">
        <v>935</v>
      </c>
      <c r="C2" s="35" t="s">
        <v>906</v>
      </c>
      <c r="D2" s="36">
        <v>13000</v>
      </c>
      <c r="E2" s="35" t="s">
        <v>807</v>
      </c>
    </row>
    <row r="3" spans="1:5" x14ac:dyDescent="0.25">
      <c r="A3" s="37">
        <v>2025</v>
      </c>
      <c r="B3" s="35" t="s">
        <v>879</v>
      </c>
      <c r="C3" s="35" t="s">
        <v>865</v>
      </c>
      <c r="D3" s="36">
        <v>11000</v>
      </c>
      <c r="E3" s="35" t="s">
        <v>807</v>
      </c>
    </row>
    <row r="4" spans="1:5" x14ac:dyDescent="0.25">
      <c r="A4" s="37">
        <v>2025</v>
      </c>
      <c r="B4" s="35" t="s">
        <v>922</v>
      </c>
      <c r="C4" s="35" t="s">
        <v>906</v>
      </c>
      <c r="D4" s="36">
        <v>10500</v>
      </c>
      <c r="E4" s="35" t="s">
        <v>807</v>
      </c>
    </row>
    <row r="5" spans="1:5" x14ac:dyDescent="0.25">
      <c r="A5" s="37">
        <v>2025</v>
      </c>
      <c r="B5" s="35" t="s">
        <v>933</v>
      </c>
      <c r="C5" s="35" t="s">
        <v>906</v>
      </c>
      <c r="D5" s="36">
        <v>10100</v>
      </c>
      <c r="E5" s="35" t="s">
        <v>807</v>
      </c>
    </row>
    <row r="6" spans="1:5" x14ac:dyDescent="0.25">
      <c r="A6" s="37">
        <v>2025</v>
      </c>
      <c r="B6" s="35" t="s">
        <v>876</v>
      </c>
      <c r="C6" s="35" t="s">
        <v>865</v>
      </c>
      <c r="D6" s="36">
        <v>10000</v>
      </c>
      <c r="E6" s="35" t="s">
        <v>807</v>
      </c>
    </row>
    <row r="7" spans="1:5" x14ac:dyDescent="0.25">
      <c r="A7" s="37">
        <v>2025</v>
      </c>
      <c r="B7" s="35" t="s">
        <v>899</v>
      </c>
      <c r="C7" s="35" t="s">
        <v>865</v>
      </c>
      <c r="D7" s="36">
        <v>9750</v>
      </c>
      <c r="E7" s="35" t="s">
        <v>807</v>
      </c>
    </row>
    <row r="8" spans="1:5" x14ac:dyDescent="0.25">
      <c r="A8" s="37">
        <v>2025</v>
      </c>
      <c r="B8" s="35" t="s">
        <v>939</v>
      </c>
      <c r="C8" s="35" t="s">
        <v>906</v>
      </c>
      <c r="D8" s="36">
        <v>9000</v>
      </c>
      <c r="E8" s="35" t="s">
        <v>807</v>
      </c>
    </row>
    <row r="9" spans="1:5" x14ac:dyDescent="0.25">
      <c r="A9" s="37">
        <v>2025</v>
      </c>
      <c r="B9" s="35" t="s">
        <v>920</v>
      </c>
      <c r="C9" s="35" t="s">
        <v>906</v>
      </c>
      <c r="D9" s="36">
        <v>8600</v>
      </c>
      <c r="E9" s="35" t="s">
        <v>807</v>
      </c>
    </row>
    <row r="10" spans="1:5" x14ac:dyDescent="0.25">
      <c r="A10" s="37">
        <v>2025</v>
      </c>
      <c r="B10" s="35" t="s">
        <v>932</v>
      </c>
      <c r="C10" s="35" t="s">
        <v>906</v>
      </c>
      <c r="D10" s="36">
        <v>8300</v>
      </c>
      <c r="E10" s="35" t="s">
        <v>807</v>
      </c>
    </row>
    <row r="11" spans="1:5" x14ac:dyDescent="0.25">
      <c r="A11" s="37">
        <v>2025</v>
      </c>
      <c r="B11" s="35" t="s">
        <v>913</v>
      </c>
      <c r="C11" s="35" t="s">
        <v>808</v>
      </c>
      <c r="D11" s="36">
        <v>8200</v>
      </c>
      <c r="E11" s="35" t="s">
        <v>807</v>
      </c>
    </row>
    <row r="12" spans="1:5" x14ac:dyDescent="0.25">
      <c r="A12" s="37">
        <v>2025</v>
      </c>
      <c r="B12" s="35" t="s">
        <v>929</v>
      </c>
      <c r="C12" s="35" t="s">
        <v>906</v>
      </c>
      <c r="D12" s="36">
        <v>8200</v>
      </c>
      <c r="E12" s="35" t="s">
        <v>807</v>
      </c>
    </row>
    <row r="13" spans="1:5" x14ac:dyDescent="0.25">
      <c r="A13" s="37">
        <v>2025</v>
      </c>
      <c r="B13" s="35" t="s">
        <v>938</v>
      </c>
      <c r="C13" s="35" t="s">
        <v>906</v>
      </c>
      <c r="D13" s="36">
        <v>8100</v>
      </c>
      <c r="E13" s="35" t="s">
        <v>807</v>
      </c>
    </row>
    <row r="14" spans="1:5" x14ac:dyDescent="0.25">
      <c r="A14" s="37">
        <v>2025</v>
      </c>
      <c r="B14" s="35" t="s">
        <v>937</v>
      </c>
      <c r="C14" s="35" t="s">
        <v>906</v>
      </c>
      <c r="D14" s="36">
        <v>7700</v>
      </c>
      <c r="E14" s="35" t="s">
        <v>807</v>
      </c>
    </row>
    <row r="15" spans="1:5" x14ac:dyDescent="0.25">
      <c r="A15" s="37">
        <v>2026</v>
      </c>
      <c r="B15" s="35" t="s">
        <v>534</v>
      </c>
      <c r="C15" s="35" t="s">
        <v>154</v>
      </c>
      <c r="D15" s="36">
        <v>7700</v>
      </c>
      <c r="E15" s="35" t="s">
        <v>785</v>
      </c>
    </row>
    <row r="16" spans="1:5" x14ac:dyDescent="0.25">
      <c r="A16" s="37">
        <v>2025</v>
      </c>
      <c r="B16" s="35" t="s">
        <v>930</v>
      </c>
      <c r="C16" s="35" t="s">
        <v>906</v>
      </c>
      <c r="D16" s="36">
        <v>7600</v>
      </c>
      <c r="E16" s="35" t="s">
        <v>807</v>
      </c>
    </row>
    <row r="17" spans="1:5" x14ac:dyDescent="0.25">
      <c r="A17" s="37">
        <v>2025</v>
      </c>
      <c r="B17" s="35" t="s">
        <v>878</v>
      </c>
      <c r="C17" s="35" t="s">
        <v>865</v>
      </c>
      <c r="D17" s="36">
        <v>7500</v>
      </c>
      <c r="E17" s="35" t="s">
        <v>807</v>
      </c>
    </row>
    <row r="18" spans="1:5" x14ac:dyDescent="0.25">
      <c r="A18" s="37">
        <v>2025</v>
      </c>
      <c r="B18" s="35" t="s">
        <v>936</v>
      </c>
      <c r="C18" s="35" t="s">
        <v>906</v>
      </c>
      <c r="D18" s="36">
        <v>7500</v>
      </c>
      <c r="E18" s="35" t="s">
        <v>807</v>
      </c>
    </row>
    <row r="19" spans="1:5" x14ac:dyDescent="0.25">
      <c r="A19" s="37">
        <v>2025</v>
      </c>
      <c r="B19" s="35" t="s">
        <v>934</v>
      </c>
      <c r="C19" s="35" t="s">
        <v>906</v>
      </c>
      <c r="D19" s="36">
        <v>7400</v>
      </c>
      <c r="E19" s="35" t="s">
        <v>807</v>
      </c>
    </row>
    <row r="20" spans="1:5" x14ac:dyDescent="0.25">
      <c r="A20" s="37">
        <v>2025</v>
      </c>
      <c r="B20" s="35" t="s">
        <v>903</v>
      </c>
      <c r="C20" s="35" t="s">
        <v>808</v>
      </c>
      <c r="D20" s="36">
        <v>6800</v>
      </c>
      <c r="E20" s="35" t="s">
        <v>807</v>
      </c>
    </row>
    <row r="21" spans="1:5" x14ac:dyDescent="0.25">
      <c r="A21" s="37">
        <v>2025</v>
      </c>
      <c r="B21" s="35" t="s">
        <v>931</v>
      </c>
      <c r="C21" s="35" t="s">
        <v>906</v>
      </c>
      <c r="D21" s="36">
        <v>6800</v>
      </c>
      <c r="E21" s="35" t="s">
        <v>807</v>
      </c>
    </row>
    <row r="22" spans="1:5" x14ac:dyDescent="0.25">
      <c r="A22" s="37">
        <v>2025</v>
      </c>
      <c r="B22" s="35" t="s">
        <v>901</v>
      </c>
      <c r="C22" s="35" t="s">
        <v>865</v>
      </c>
      <c r="D22" s="36">
        <v>6700</v>
      </c>
      <c r="E22" s="35" t="s">
        <v>807</v>
      </c>
    </row>
    <row r="23" spans="1:5" x14ac:dyDescent="0.25">
      <c r="A23" s="37">
        <v>2025</v>
      </c>
      <c r="B23" s="35" t="s">
        <v>918</v>
      </c>
      <c r="C23" s="35" t="s">
        <v>906</v>
      </c>
      <c r="D23" s="36">
        <v>6700</v>
      </c>
      <c r="E23" s="35" t="s">
        <v>807</v>
      </c>
    </row>
    <row r="24" spans="1:5" x14ac:dyDescent="0.25">
      <c r="A24" s="37">
        <v>2025</v>
      </c>
      <c r="B24" s="35" t="s">
        <v>928</v>
      </c>
      <c r="C24" s="35" t="s">
        <v>906</v>
      </c>
      <c r="D24" s="36">
        <v>6650</v>
      </c>
      <c r="E24" s="35" t="s">
        <v>807</v>
      </c>
    </row>
    <row r="25" spans="1:5" x14ac:dyDescent="0.25">
      <c r="A25" s="37">
        <v>2026</v>
      </c>
      <c r="B25" s="35" t="s">
        <v>537</v>
      </c>
      <c r="C25" s="35" t="s">
        <v>154</v>
      </c>
      <c r="D25" s="36">
        <v>6650</v>
      </c>
      <c r="E25" s="35" t="s">
        <v>785</v>
      </c>
    </row>
    <row r="26" spans="1:5" x14ac:dyDescent="0.25">
      <c r="A26" s="37">
        <v>2025</v>
      </c>
      <c r="B26" s="35" t="s">
        <v>925</v>
      </c>
      <c r="C26" s="35" t="s">
        <v>906</v>
      </c>
      <c r="D26" s="36">
        <v>6600</v>
      </c>
      <c r="E26" s="35" t="s">
        <v>807</v>
      </c>
    </row>
    <row r="27" spans="1:5" x14ac:dyDescent="0.25">
      <c r="A27" s="37">
        <v>2025</v>
      </c>
      <c r="B27" s="35" t="s">
        <v>927</v>
      </c>
      <c r="C27" s="35" t="s">
        <v>906</v>
      </c>
      <c r="D27" s="36">
        <v>6500</v>
      </c>
      <c r="E27" s="35" t="s">
        <v>807</v>
      </c>
    </row>
    <row r="28" spans="1:5" x14ac:dyDescent="0.25">
      <c r="A28" s="37">
        <v>2026</v>
      </c>
      <c r="B28" s="35" t="s">
        <v>821</v>
      </c>
      <c r="C28" s="35" t="s">
        <v>376</v>
      </c>
      <c r="D28" s="36">
        <v>6470</v>
      </c>
      <c r="E28" s="35" t="s">
        <v>785</v>
      </c>
    </row>
    <row r="29" spans="1:5" x14ac:dyDescent="0.25">
      <c r="A29" s="37">
        <v>2025</v>
      </c>
      <c r="B29" s="35" t="s">
        <v>926</v>
      </c>
      <c r="C29" s="35" t="s">
        <v>906</v>
      </c>
      <c r="D29" s="36">
        <v>6400</v>
      </c>
      <c r="E29" s="35" t="s">
        <v>807</v>
      </c>
    </row>
    <row r="30" spans="1:5" x14ac:dyDescent="0.25">
      <c r="A30" s="37">
        <v>2025</v>
      </c>
      <c r="B30" s="35" t="s">
        <v>924</v>
      </c>
      <c r="C30" s="35" t="s">
        <v>906</v>
      </c>
      <c r="D30" s="36">
        <v>6350</v>
      </c>
      <c r="E30" s="35" t="s">
        <v>807</v>
      </c>
    </row>
    <row r="31" spans="1:5" x14ac:dyDescent="0.25">
      <c r="A31" s="37">
        <v>2025</v>
      </c>
      <c r="B31" s="35" t="s">
        <v>923</v>
      </c>
      <c r="C31" s="35" t="s">
        <v>906</v>
      </c>
      <c r="D31" s="36">
        <v>6300</v>
      </c>
      <c r="E31" s="35" t="s">
        <v>807</v>
      </c>
    </row>
    <row r="32" spans="1:5" x14ac:dyDescent="0.25">
      <c r="A32" s="37">
        <v>2025</v>
      </c>
      <c r="B32" s="35" t="s">
        <v>921</v>
      </c>
      <c r="C32" s="35" t="s">
        <v>906</v>
      </c>
      <c r="D32" s="36">
        <v>6250</v>
      </c>
      <c r="E32" s="35" t="s">
        <v>807</v>
      </c>
    </row>
    <row r="33" spans="1:5" x14ac:dyDescent="0.25">
      <c r="A33" s="37">
        <v>2025</v>
      </c>
      <c r="B33" s="35" t="s">
        <v>919</v>
      </c>
      <c r="C33" s="35" t="s">
        <v>906</v>
      </c>
      <c r="D33" s="36">
        <v>6200</v>
      </c>
      <c r="E33" s="35" t="s">
        <v>807</v>
      </c>
    </row>
    <row r="34" spans="1:5" x14ac:dyDescent="0.25">
      <c r="A34" s="37">
        <v>2025</v>
      </c>
      <c r="B34" s="35" t="s">
        <v>917</v>
      </c>
      <c r="C34" s="35" t="s">
        <v>906</v>
      </c>
      <c r="D34" s="36">
        <v>6100</v>
      </c>
      <c r="E34" s="35" t="s">
        <v>807</v>
      </c>
    </row>
    <row r="35" spans="1:5" x14ac:dyDescent="0.25">
      <c r="A35" s="37">
        <v>2025</v>
      </c>
      <c r="B35" s="35" t="s">
        <v>897</v>
      </c>
      <c r="C35" s="35" t="s">
        <v>865</v>
      </c>
      <c r="D35" s="36">
        <v>6000</v>
      </c>
      <c r="E35" s="35" t="s">
        <v>807</v>
      </c>
    </row>
    <row r="36" spans="1:5" x14ac:dyDescent="0.25">
      <c r="A36" s="37">
        <v>2025</v>
      </c>
      <c r="B36" s="35" t="s">
        <v>916</v>
      </c>
      <c r="C36" s="35" t="s">
        <v>906</v>
      </c>
      <c r="D36" s="36">
        <v>6000</v>
      </c>
      <c r="E36" s="35" t="s">
        <v>807</v>
      </c>
    </row>
    <row r="37" spans="1:5" x14ac:dyDescent="0.25">
      <c r="A37" s="37">
        <v>2025</v>
      </c>
      <c r="B37" s="35" t="s">
        <v>915</v>
      </c>
      <c r="C37" s="35" t="s">
        <v>906</v>
      </c>
      <c r="D37" s="36">
        <v>5950</v>
      </c>
      <c r="E37" s="35" t="s">
        <v>807</v>
      </c>
    </row>
    <row r="38" spans="1:5" x14ac:dyDescent="0.25">
      <c r="A38" s="37">
        <v>2025</v>
      </c>
      <c r="B38" s="35" t="s">
        <v>870</v>
      </c>
      <c r="C38" s="35" t="s">
        <v>865</v>
      </c>
      <c r="D38" s="36">
        <v>5900</v>
      </c>
      <c r="E38" s="35" t="s">
        <v>807</v>
      </c>
    </row>
    <row r="39" spans="1:5" x14ac:dyDescent="0.25">
      <c r="A39" s="37">
        <v>2025</v>
      </c>
      <c r="B39" s="35" t="s">
        <v>914</v>
      </c>
      <c r="C39" s="35" t="s">
        <v>906</v>
      </c>
      <c r="D39" s="36">
        <v>5900</v>
      </c>
      <c r="E39" s="35" t="s">
        <v>807</v>
      </c>
    </row>
    <row r="40" spans="1:5" x14ac:dyDescent="0.25">
      <c r="A40" s="37">
        <v>2026</v>
      </c>
      <c r="B40" s="35" t="s">
        <v>800</v>
      </c>
      <c r="C40" s="35" t="s">
        <v>173</v>
      </c>
      <c r="D40" s="36">
        <v>5780</v>
      </c>
      <c r="E40" s="35" t="s">
        <v>785</v>
      </c>
    </row>
    <row r="41" spans="1:5" x14ac:dyDescent="0.25">
      <c r="A41" s="37">
        <v>2026</v>
      </c>
      <c r="B41" s="35" t="s">
        <v>588</v>
      </c>
      <c r="C41" s="35" t="s">
        <v>376</v>
      </c>
      <c r="D41" s="36">
        <v>5740</v>
      </c>
      <c r="E41" s="35" t="s">
        <v>785</v>
      </c>
    </row>
    <row r="42" spans="1:5" x14ac:dyDescent="0.25">
      <c r="A42" s="37">
        <v>2025</v>
      </c>
      <c r="B42" s="35" t="s">
        <v>889</v>
      </c>
      <c r="C42" s="35" t="s">
        <v>865</v>
      </c>
      <c r="D42" s="36">
        <v>5700</v>
      </c>
      <c r="E42" s="35" t="s">
        <v>807</v>
      </c>
    </row>
    <row r="43" spans="1:5" x14ac:dyDescent="0.25">
      <c r="A43" s="37">
        <v>2025</v>
      </c>
      <c r="B43" s="35" t="s">
        <v>912</v>
      </c>
      <c r="C43" s="35" t="s">
        <v>906</v>
      </c>
      <c r="D43" s="36">
        <v>5700</v>
      </c>
      <c r="E43" s="35" t="s">
        <v>807</v>
      </c>
    </row>
    <row r="44" spans="1:5" x14ac:dyDescent="0.25">
      <c r="A44" s="37">
        <v>2026</v>
      </c>
      <c r="B44" s="35" t="s">
        <v>823</v>
      </c>
      <c r="C44" s="35" t="s">
        <v>376</v>
      </c>
      <c r="D44" s="36">
        <v>5700</v>
      </c>
      <c r="E44" s="35" t="s">
        <v>785</v>
      </c>
    </row>
    <row r="45" spans="1:5" x14ac:dyDescent="0.25">
      <c r="A45" s="37">
        <v>2025</v>
      </c>
      <c r="B45" s="35" t="s">
        <v>900</v>
      </c>
      <c r="C45" s="35" t="s">
        <v>865</v>
      </c>
      <c r="D45" s="36">
        <v>5600</v>
      </c>
      <c r="E45" s="35" t="s">
        <v>807</v>
      </c>
    </row>
    <row r="46" spans="1:5" x14ac:dyDescent="0.25">
      <c r="A46" s="37">
        <v>2025</v>
      </c>
      <c r="B46" s="35" t="s">
        <v>911</v>
      </c>
      <c r="C46" s="35" t="s">
        <v>906</v>
      </c>
      <c r="D46" s="36">
        <v>5600</v>
      </c>
      <c r="E46" s="35" t="s">
        <v>807</v>
      </c>
    </row>
    <row r="47" spans="1:5" x14ac:dyDescent="0.25">
      <c r="A47" s="37">
        <v>2025</v>
      </c>
      <c r="B47" s="35" t="s">
        <v>910</v>
      </c>
      <c r="C47" s="35" t="s">
        <v>906</v>
      </c>
      <c r="D47" s="36">
        <v>5500</v>
      </c>
      <c r="E47" s="35" t="s">
        <v>807</v>
      </c>
    </row>
    <row r="48" spans="1:5" x14ac:dyDescent="0.25">
      <c r="A48" s="37">
        <v>2025</v>
      </c>
      <c r="B48" s="35" t="s">
        <v>898</v>
      </c>
      <c r="C48" s="35" t="s">
        <v>865</v>
      </c>
      <c r="D48" s="36">
        <v>5450</v>
      </c>
      <c r="E48" s="35" t="s">
        <v>807</v>
      </c>
    </row>
    <row r="49" spans="1:5" x14ac:dyDescent="0.25">
      <c r="A49" s="37">
        <v>2026</v>
      </c>
      <c r="B49" s="35" t="s">
        <v>587</v>
      </c>
      <c r="C49" s="35" t="s">
        <v>376</v>
      </c>
      <c r="D49" s="36">
        <v>5430</v>
      </c>
      <c r="E49" s="35" t="s">
        <v>785</v>
      </c>
    </row>
    <row r="50" spans="1:5" x14ac:dyDescent="0.25">
      <c r="A50" s="37">
        <v>2025</v>
      </c>
      <c r="B50" s="35" t="s">
        <v>875</v>
      </c>
      <c r="C50" s="35" t="s">
        <v>865</v>
      </c>
      <c r="D50" s="36">
        <v>5425</v>
      </c>
      <c r="E50" s="35" t="s">
        <v>807</v>
      </c>
    </row>
    <row r="51" spans="1:5" x14ac:dyDescent="0.25">
      <c r="A51" s="37">
        <v>2025</v>
      </c>
      <c r="B51" s="35" t="s">
        <v>902</v>
      </c>
      <c r="C51" s="35" t="s">
        <v>865</v>
      </c>
      <c r="D51" s="36">
        <v>5400</v>
      </c>
      <c r="E51" s="35" t="s">
        <v>807</v>
      </c>
    </row>
    <row r="52" spans="1:5" x14ac:dyDescent="0.25">
      <c r="A52" s="37">
        <v>2025</v>
      </c>
      <c r="B52" s="35" t="s">
        <v>909</v>
      </c>
      <c r="C52" s="35" t="s">
        <v>906</v>
      </c>
      <c r="D52" s="36">
        <v>5400</v>
      </c>
      <c r="E52" s="35" t="s">
        <v>807</v>
      </c>
    </row>
    <row r="53" spans="1:5" x14ac:dyDescent="0.25">
      <c r="A53" s="37">
        <v>2025</v>
      </c>
      <c r="B53" s="35" t="s">
        <v>908</v>
      </c>
      <c r="C53" s="35" t="s">
        <v>906</v>
      </c>
      <c r="D53" s="36">
        <v>5300</v>
      </c>
      <c r="E53" s="35" t="s">
        <v>807</v>
      </c>
    </row>
    <row r="54" spans="1:5" x14ac:dyDescent="0.25">
      <c r="A54" s="37">
        <v>2025</v>
      </c>
      <c r="B54" s="35" t="s">
        <v>907</v>
      </c>
      <c r="C54" s="35" t="s">
        <v>906</v>
      </c>
      <c r="D54" s="36">
        <v>5250</v>
      </c>
      <c r="E54" s="35" t="s">
        <v>807</v>
      </c>
    </row>
    <row r="55" spans="1:5" x14ac:dyDescent="0.25">
      <c r="A55" s="37">
        <v>2025</v>
      </c>
      <c r="B55" s="35" t="s">
        <v>872</v>
      </c>
      <c r="C55" s="35" t="s">
        <v>865</v>
      </c>
      <c r="D55" s="36">
        <v>5100</v>
      </c>
      <c r="E55" s="35" t="s">
        <v>807</v>
      </c>
    </row>
    <row r="56" spans="1:5" x14ac:dyDescent="0.25">
      <c r="A56" s="37">
        <v>2025</v>
      </c>
      <c r="B56" s="35" t="s">
        <v>892</v>
      </c>
      <c r="C56" s="35" t="s">
        <v>865</v>
      </c>
      <c r="D56" s="36">
        <v>5000</v>
      </c>
      <c r="E56" s="35" t="s">
        <v>807</v>
      </c>
    </row>
    <row r="57" spans="1:5" x14ac:dyDescent="0.25">
      <c r="A57" s="37">
        <v>2026</v>
      </c>
      <c r="B57" s="35" t="s">
        <v>801</v>
      </c>
      <c r="C57" s="35" t="s">
        <v>164</v>
      </c>
      <c r="D57" s="36">
        <v>5000</v>
      </c>
      <c r="E57" s="35" t="s">
        <v>785</v>
      </c>
    </row>
    <row r="58" spans="1:5" x14ac:dyDescent="0.25">
      <c r="A58" s="37">
        <v>2025</v>
      </c>
      <c r="B58" s="35" t="s">
        <v>905</v>
      </c>
      <c r="C58" s="35" t="s">
        <v>808</v>
      </c>
      <c r="D58" s="36">
        <v>4800</v>
      </c>
      <c r="E58" s="35" t="s">
        <v>807</v>
      </c>
    </row>
    <row r="59" spans="1:5" x14ac:dyDescent="0.25">
      <c r="A59" s="37">
        <v>2025</v>
      </c>
      <c r="B59" s="35" t="s">
        <v>896</v>
      </c>
      <c r="C59" s="35" t="s">
        <v>865</v>
      </c>
      <c r="D59" s="36">
        <v>4800</v>
      </c>
      <c r="E59" s="35" t="s">
        <v>807</v>
      </c>
    </row>
    <row r="60" spans="1:5" x14ac:dyDescent="0.25">
      <c r="A60" s="37">
        <v>2025</v>
      </c>
      <c r="B60" s="35" t="s">
        <v>887</v>
      </c>
      <c r="C60" s="35" t="s">
        <v>865</v>
      </c>
      <c r="D60" s="36">
        <v>4700</v>
      </c>
      <c r="E60" s="35" t="s">
        <v>807</v>
      </c>
    </row>
    <row r="61" spans="1:5" x14ac:dyDescent="0.25">
      <c r="A61" s="37">
        <v>2025</v>
      </c>
      <c r="B61" s="35" t="s">
        <v>904</v>
      </c>
      <c r="C61" s="35" t="s">
        <v>808</v>
      </c>
      <c r="D61" s="36">
        <v>4600</v>
      </c>
      <c r="E61" s="35" t="s">
        <v>807</v>
      </c>
    </row>
    <row r="62" spans="1:5" x14ac:dyDescent="0.25">
      <c r="A62" s="37">
        <v>2025</v>
      </c>
      <c r="B62" s="35" t="s">
        <v>886</v>
      </c>
      <c r="C62" s="35" t="s">
        <v>865</v>
      </c>
      <c r="D62" s="36">
        <v>4600</v>
      </c>
      <c r="E62" s="35" t="s">
        <v>807</v>
      </c>
    </row>
    <row r="63" spans="1:5" x14ac:dyDescent="0.25">
      <c r="A63" s="37">
        <v>2025</v>
      </c>
      <c r="B63" s="35" t="s">
        <v>873</v>
      </c>
      <c r="C63" s="35" t="s">
        <v>865</v>
      </c>
      <c r="D63" s="36">
        <v>4450</v>
      </c>
      <c r="E63" s="35" t="s">
        <v>807</v>
      </c>
    </row>
    <row r="64" spans="1:5" x14ac:dyDescent="0.25">
      <c r="A64" s="37">
        <v>2025</v>
      </c>
      <c r="B64" s="35" t="s">
        <v>866</v>
      </c>
      <c r="C64" s="35" t="s">
        <v>865</v>
      </c>
      <c r="D64" s="36">
        <v>4400</v>
      </c>
      <c r="E64" s="35" t="s">
        <v>807</v>
      </c>
    </row>
    <row r="65" spans="1:5" x14ac:dyDescent="0.25">
      <c r="A65" s="37">
        <v>2025</v>
      </c>
      <c r="B65" s="35" t="s">
        <v>862</v>
      </c>
      <c r="C65" s="35" t="s">
        <v>811</v>
      </c>
      <c r="D65" s="36">
        <v>4400</v>
      </c>
      <c r="E65" s="35" t="s">
        <v>807</v>
      </c>
    </row>
    <row r="66" spans="1:5" x14ac:dyDescent="0.25">
      <c r="A66" s="37">
        <v>2025</v>
      </c>
      <c r="B66" s="35" t="s">
        <v>884</v>
      </c>
      <c r="C66" s="35" t="s">
        <v>865</v>
      </c>
      <c r="D66" s="36">
        <v>4350</v>
      </c>
      <c r="E66" s="35" t="s">
        <v>807</v>
      </c>
    </row>
    <row r="67" spans="1:5" x14ac:dyDescent="0.25">
      <c r="A67" s="37">
        <v>2025</v>
      </c>
      <c r="B67" s="35" t="s">
        <v>893</v>
      </c>
      <c r="C67" s="35" t="s">
        <v>865</v>
      </c>
      <c r="D67" s="36">
        <v>4300</v>
      </c>
      <c r="E67" s="35" t="s">
        <v>807</v>
      </c>
    </row>
    <row r="68" spans="1:5" x14ac:dyDescent="0.25">
      <c r="A68" s="37">
        <v>2025</v>
      </c>
      <c r="B68" s="35" t="s">
        <v>882</v>
      </c>
      <c r="C68" s="35" t="s">
        <v>865</v>
      </c>
      <c r="D68" s="36">
        <v>4250</v>
      </c>
      <c r="E68" s="35" t="s">
        <v>807</v>
      </c>
    </row>
    <row r="69" spans="1:5" x14ac:dyDescent="0.25">
      <c r="A69" s="37">
        <v>2025</v>
      </c>
      <c r="B69" s="35" t="s">
        <v>894</v>
      </c>
      <c r="C69" s="35" t="s">
        <v>865</v>
      </c>
      <c r="D69" s="36">
        <v>4200</v>
      </c>
      <c r="E69" s="35" t="s">
        <v>807</v>
      </c>
    </row>
    <row r="70" spans="1:5" x14ac:dyDescent="0.25">
      <c r="A70" s="37">
        <v>2025</v>
      </c>
      <c r="B70" s="35" t="s">
        <v>881</v>
      </c>
      <c r="C70" s="35" t="s">
        <v>865</v>
      </c>
      <c r="D70" s="36">
        <v>4100</v>
      </c>
      <c r="E70" s="35" t="s">
        <v>807</v>
      </c>
    </row>
    <row r="71" spans="1:5" x14ac:dyDescent="0.25">
      <c r="A71" s="37">
        <v>2025</v>
      </c>
      <c r="B71" s="35" t="s">
        <v>895</v>
      </c>
      <c r="C71" s="35" t="s">
        <v>808</v>
      </c>
      <c r="D71" s="36">
        <v>4000</v>
      </c>
      <c r="E71" s="35" t="s">
        <v>807</v>
      </c>
    </row>
    <row r="72" spans="1:5" x14ac:dyDescent="0.25">
      <c r="A72" s="37">
        <v>2025</v>
      </c>
      <c r="B72" s="35" t="s">
        <v>853</v>
      </c>
      <c r="C72" s="35" t="s">
        <v>811</v>
      </c>
      <c r="D72" s="36">
        <v>4000</v>
      </c>
      <c r="E72" s="35" t="s">
        <v>807</v>
      </c>
    </row>
    <row r="73" spans="1:5" x14ac:dyDescent="0.25">
      <c r="A73" s="37">
        <v>2026</v>
      </c>
      <c r="B73" s="35" t="s">
        <v>816</v>
      </c>
      <c r="C73" s="35" t="s">
        <v>376</v>
      </c>
      <c r="D73" s="36">
        <v>4000</v>
      </c>
      <c r="E73" s="35" t="s">
        <v>785</v>
      </c>
    </row>
    <row r="74" spans="1:5" x14ac:dyDescent="0.25">
      <c r="A74" s="37">
        <v>2025</v>
      </c>
      <c r="B74" s="35" t="s">
        <v>888</v>
      </c>
      <c r="C74" s="35" t="s">
        <v>865</v>
      </c>
      <c r="D74" s="36">
        <v>3900</v>
      </c>
      <c r="E74" s="35" t="s">
        <v>807</v>
      </c>
    </row>
    <row r="75" spans="1:5" x14ac:dyDescent="0.25">
      <c r="A75" s="37">
        <v>2025</v>
      </c>
      <c r="B75" s="35" t="s">
        <v>891</v>
      </c>
      <c r="C75" s="35" t="s">
        <v>865</v>
      </c>
      <c r="D75" s="36">
        <v>3800</v>
      </c>
      <c r="E75" s="35" t="s">
        <v>807</v>
      </c>
    </row>
    <row r="76" spans="1:5" x14ac:dyDescent="0.25">
      <c r="A76" s="37">
        <v>2025</v>
      </c>
      <c r="B76" s="35" t="s">
        <v>890</v>
      </c>
      <c r="C76" s="35" t="s">
        <v>865</v>
      </c>
      <c r="D76" s="36">
        <v>3650</v>
      </c>
      <c r="E76" s="35" t="s">
        <v>807</v>
      </c>
    </row>
    <row r="77" spans="1:5" x14ac:dyDescent="0.25">
      <c r="A77" s="37">
        <v>2025</v>
      </c>
      <c r="B77" s="35" t="s">
        <v>885</v>
      </c>
      <c r="C77" s="35" t="s">
        <v>865</v>
      </c>
      <c r="D77" s="36">
        <v>3600</v>
      </c>
      <c r="E77" s="35" t="s">
        <v>807</v>
      </c>
    </row>
    <row r="78" spans="1:5" x14ac:dyDescent="0.25">
      <c r="A78" s="37">
        <v>2025</v>
      </c>
      <c r="B78" s="35" t="s">
        <v>867</v>
      </c>
      <c r="C78" s="35" t="s">
        <v>865</v>
      </c>
      <c r="D78" s="36">
        <v>3550</v>
      </c>
      <c r="E78" s="35" t="s">
        <v>807</v>
      </c>
    </row>
    <row r="79" spans="1:5" x14ac:dyDescent="0.25">
      <c r="A79" s="37">
        <v>2025</v>
      </c>
      <c r="B79" s="35" t="s">
        <v>869</v>
      </c>
      <c r="C79" s="35" t="s">
        <v>865</v>
      </c>
      <c r="D79" s="36">
        <v>3500</v>
      </c>
      <c r="E79" s="35" t="s">
        <v>807</v>
      </c>
    </row>
    <row r="80" spans="1:5" x14ac:dyDescent="0.25">
      <c r="A80" s="37">
        <v>2026</v>
      </c>
      <c r="B80" s="35" t="s">
        <v>813</v>
      </c>
      <c r="C80" s="35" t="s">
        <v>376</v>
      </c>
      <c r="D80" s="36">
        <v>3500</v>
      </c>
      <c r="E80" s="35" t="s">
        <v>785</v>
      </c>
    </row>
    <row r="81" spans="1:5" x14ac:dyDescent="0.25">
      <c r="A81" s="37">
        <v>2025</v>
      </c>
      <c r="B81" s="35" t="s">
        <v>864</v>
      </c>
      <c r="C81" s="35" t="s">
        <v>811</v>
      </c>
      <c r="D81" s="36">
        <v>3400</v>
      </c>
      <c r="E81" s="35" t="s">
        <v>807</v>
      </c>
    </row>
    <row r="82" spans="1:5" x14ac:dyDescent="0.25">
      <c r="A82" s="37">
        <v>2025</v>
      </c>
      <c r="B82" s="35" t="s">
        <v>883</v>
      </c>
      <c r="C82" s="35" t="s">
        <v>808</v>
      </c>
      <c r="D82" s="36">
        <v>3200</v>
      </c>
      <c r="E82" s="35" t="s">
        <v>807</v>
      </c>
    </row>
    <row r="83" spans="1:5" x14ac:dyDescent="0.25">
      <c r="A83" s="37">
        <v>2025</v>
      </c>
      <c r="B83" s="35" t="s">
        <v>845</v>
      </c>
      <c r="C83" s="35" t="s">
        <v>811</v>
      </c>
      <c r="D83" s="36">
        <v>3200</v>
      </c>
      <c r="E83" s="35" t="s">
        <v>807</v>
      </c>
    </row>
    <row r="84" spans="1:5" x14ac:dyDescent="0.25">
      <c r="A84" s="37">
        <v>2025</v>
      </c>
      <c r="B84" s="35" t="s">
        <v>880</v>
      </c>
      <c r="C84" s="35" t="s">
        <v>808</v>
      </c>
      <c r="D84" s="36">
        <v>3100</v>
      </c>
      <c r="E84" s="35" t="s">
        <v>807</v>
      </c>
    </row>
    <row r="85" spans="1:5" x14ac:dyDescent="0.25">
      <c r="A85" s="37">
        <v>2025</v>
      </c>
      <c r="B85" s="35" t="s">
        <v>834</v>
      </c>
      <c r="C85" s="35" t="s">
        <v>811</v>
      </c>
      <c r="D85" s="36">
        <v>3100</v>
      </c>
      <c r="E85" s="35" t="s">
        <v>807</v>
      </c>
    </row>
    <row r="86" spans="1:5" x14ac:dyDescent="0.25">
      <c r="A86" s="37">
        <v>2025</v>
      </c>
      <c r="B86" s="35" t="s">
        <v>877</v>
      </c>
      <c r="C86" s="35" t="s">
        <v>808</v>
      </c>
      <c r="D86" s="36">
        <v>3000</v>
      </c>
      <c r="E86" s="35" t="s">
        <v>807</v>
      </c>
    </row>
    <row r="87" spans="1:5" x14ac:dyDescent="0.25">
      <c r="A87" s="37">
        <v>2025</v>
      </c>
      <c r="B87" s="35" t="s">
        <v>861</v>
      </c>
      <c r="C87" s="35" t="s">
        <v>811</v>
      </c>
      <c r="D87" s="36">
        <v>2900</v>
      </c>
      <c r="E87" s="35" t="s">
        <v>807</v>
      </c>
    </row>
    <row r="88" spans="1:5" x14ac:dyDescent="0.25">
      <c r="A88" s="37">
        <v>2025</v>
      </c>
      <c r="B88" s="35" t="s">
        <v>874</v>
      </c>
      <c r="C88" s="35" t="s">
        <v>808</v>
      </c>
      <c r="D88" s="36">
        <v>2800</v>
      </c>
      <c r="E88" s="35" t="s">
        <v>807</v>
      </c>
    </row>
    <row r="89" spans="1:5" x14ac:dyDescent="0.25">
      <c r="A89" s="37">
        <v>2025</v>
      </c>
      <c r="B89" s="35" t="s">
        <v>843</v>
      </c>
      <c r="C89" s="35" t="s">
        <v>811</v>
      </c>
      <c r="D89" s="36">
        <v>2800</v>
      </c>
      <c r="E89" s="35" t="s">
        <v>807</v>
      </c>
    </row>
    <row r="90" spans="1:5" x14ac:dyDescent="0.25">
      <c r="A90" s="37">
        <v>2025</v>
      </c>
      <c r="B90" s="35" t="s">
        <v>871</v>
      </c>
      <c r="C90" s="35" t="s">
        <v>808</v>
      </c>
      <c r="D90" s="36">
        <v>2750</v>
      </c>
      <c r="E90" s="35" t="s">
        <v>807</v>
      </c>
    </row>
    <row r="91" spans="1:5" x14ac:dyDescent="0.25">
      <c r="A91" s="37">
        <v>2025</v>
      </c>
      <c r="B91" s="35" t="s">
        <v>851</v>
      </c>
      <c r="C91" s="35" t="s">
        <v>811</v>
      </c>
      <c r="D91" s="36">
        <v>2700</v>
      </c>
      <c r="E91" s="35" t="s">
        <v>807</v>
      </c>
    </row>
    <row r="92" spans="1:5" x14ac:dyDescent="0.25">
      <c r="A92" s="37">
        <v>2025</v>
      </c>
      <c r="B92" s="35" t="s">
        <v>868</v>
      </c>
      <c r="C92" s="35" t="s">
        <v>808</v>
      </c>
      <c r="D92" s="36">
        <v>2550</v>
      </c>
      <c r="E92" s="35" t="s">
        <v>807</v>
      </c>
    </row>
    <row r="93" spans="1:5" x14ac:dyDescent="0.25">
      <c r="A93" s="37">
        <v>2025</v>
      </c>
      <c r="B93" s="35" t="s">
        <v>848</v>
      </c>
      <c r="C93" s="35" t="s">
        <v>811</v>
      </c>
      <c r="D93" s="36">
        <v>2550</v>
      </c>
      <c r="E93" s="35" t="s">
        <v>807</v>
      </c>
    </row>
    <row r="94" spans="1:5" x14ac:dyDescent="0.25">
      <c r="A94" s="37">
        <v>2025</v>
      </c>
      <c r="B94" s="35" t="s">
        <v>859</v>
      </c>
      <c r="C94" s="35" t="s">
        <v>811</v>
      </c>
      <c r="D94" s="36">
        <v>2500</v>
      </c>
      <c r="E94" s="35" t="s">
        <v>807</v>
      </c>
    </row>
    <row r="95" spans="1:5" x14ac:dyDescent="0.25">
      <c r="A95" s="37">
        <v>2026</v>
      </c>
      <c r="B95" s="35" t="s">
        <v>778</v>
      </c>
      <c r="C95" s="35" t="s">
        <v>154</v>
      </c>
      <c r="D95" s="36">
        <v>2500</v>
      </c>
      <c r="E95" s="35" t="s">
        <v>785</v>
      </c>
    </row>
    <row r="96" spans="1:5" x14ac:dyDescent="0.25">
      <c r="A96" s="37">
        <v>2025</v>
      </c>
      <c r="B96" s="35" t="s">
        <v>863</v>
      </c>
      <c r="C96" s="35" t="s">
        <v>808</v>
      </c>
      <c r="D96" s="36">
        <v>2450</v>
      </c>
      <c r="E96" s="35" t="s">
        <v>807</v>
      </c>
    </row>
    <row r="97" spans="1:5" x14ac:dyDescent="0.25">
      <c r="A97" s="37">
        <v>2025</v>
      </c>
      <c r="B97" s="35" t="s">
        <v>856</v>
      </c>
      <c r="C97" s="35" t="s">
        <v>811</v>
      </c>
      <c r="D97" s="36">
        <v>2400</v>
      </c>
      <c r="E97" s="35" t="s">
        <v>807</v>
      </c>
    </row>
    <row r="98" spans="1:5" x14ac:dyDescent="0.25">
      <c r="A98" s="37">
        <v>2025</v>
      </c>
      <c r="B98" s="35" t="s">
        <v>840</v>
      </c>
      <c r="C98" s="35" t="s">
        <v>811</v>
      </c>
      <c r="D98" s="36">
        <v>2300</v>
      </c>
      <c r="E98" s="35" t="s">
        <v>807</v>
      </c>
    </row>
    <row r="99" spans="1:5" x14ac:dyDescent="0.25">
      <c r="A99" s="37">
        <v>2025</v>
      </c>
      <c r="B99" s="35" t="s">
        <v>860</v>
      </c>
      <c r="C99" s="35" t="s">
        <v>808</v>
      </c>
      <c r="D99" s="36">
        <v>2200</v>
      </c>
      <c r="E99" s="35" t="s">
        <v>807</v>
      </c>
    </row>
    <row r="100" spans="1:5" x14ac:dyDescent="0.25">
      <c r="A100" s="37">
        <v>2025</v>
      </c>
      <c r="B100" s="35" t="s">
        <v>829</v>
      </c>
      <c r="C100" s="35" t="s">
        <v>811</v>
      </c>
      <c r="D100" s="36">
        <v>2200</v>
      </c>
      <c r="E100" s="35" t="s">
        <v>807</v>
      </c>
    </row>
    <row r="101" spans="1:5" x14ac:dyDescent="0.25">
      <c r="A101" s="37">
        <v>2026</v>
      </c>
      <c r="B101" s="35" t="s">
        <v>796</v>
      </c>
      <c r="C101" s="35" t="s">
        <v>173</v>
      </c>
      <c r="D101" s="36">
        <v>2170</v>
      </c>
      <c r="E101" s="35" t="s">
        <v>785</v>
      </c>
    </row>
    <row r="102" spans="1:5" x14ac:dyDescent="0.25">
      <c r="A102" s="37">
        <v>2025</v>
      </c>
      <c r="B102" s="35" t="s">
        <v>858</v>
      </c>
      <c r="C102" s="35" t="s">
        <v>808</v>
      </c>
      <c r="D102" s="36">
        <v>2150</v>
      </c>
      <c r="E102" s="35" t="s">
        <v>807</v>
      </c>
    </row>
    <row r="103" spans="1:5" x14ac:dyDescent="0.25">
      <c r="A103" s="37">
        <v>2025</v>
      </c>
      <c r="B103" s="35" t="s">
        <v>844</v>
      </c>
      <c r="C103" s="35" t="s">
        <v>811</v>
      </c>
      <c r="D103" s="36">
        <v>2150</v>
      </c>
      <c r="E103" s="35" t="s">
        <v>807</v>
      </c>
    </row>
    <row r="104" spans="1:5" x14ac:dyDescent="0.25">
      <c r="A104" s="37">
        <v>2025</v>
      </c>
      <c r="B104" s="35" t="s">
        <v>857</v>
      </c>
      <c r="C104" s="35" t="s">
        <v>808</v>
      </c>
      <c r="D104" s="36">
        <v>2100</v>
      </c>
      <c r="E104" s="35" t="s">
        <v>807</v>
      </c>
    </row>
    <row r="105" spans="1:5" x14ac:dyDescent="0.25">
      <c r="A105" s="37">
        <v>2025</v>
      </c>
      <c r="B105" s="35" t="s">
        <v>855</v>
      </c>
      <c r="C105" s="35" t="s">
        <v>811</v>
      </c>
      <c r="D105" s="36">
        <v>2100</v>
      </c>
      <c r="E105" s="35" t="s">
        <v>807</v>
      </c>
    </row>
    <row r="106" spans="1:5" x14ac:dyDescent="0.25">
      <c r="A106" s="37">
        <v>2025</v>
      </c>
      <c r="B106" s="35" t="s">
        <v>854</v>
      </c>
      <c r="C106" s="35" t="s">
        <v>811</v>
      </c>
      <c r="D106" s="36">
        <v>2050</v>
      </c>
      <c r="E106" s="35" t="s">
        <v>807</v>
      </c>
    </row>
    <row r="107" spans="1:5" x14ac:dyDescent="0.25">
      <c r="A107" s="37">
        <v>2025</v>
      </c>
      <c r="B107" s="35" t="s">
        <v>852</v>
      </c>
      <c r="C107" s="35" t="s">
        <v>808</v>
      </c>
      <c r="D107" s="36">
        <v>2000</v>
      </c>
      <c r="E107" s="35" t="s">
        <v>807</v>
      </c>
    </row>
    <row r="108" spans="1:5" x14ac:dyDescent="0.25">
      <c r="A108" s="37">
        <v>2025</v>
      </c>
      <c r="B108" s="35" t="s">
        <v>850</v>
      </c>
      <c r="C108" s="35" t="s">
        <v>811</v>
      </c>
      <c r="D108" s="36">
        <v>2000</v>
      </c>
      <c r="E108" s="35" t="s">
        <v>807</v>
      </c>
    </row>
    <row r="109" spans="1:5" x14ac:dyDescent="0.25">
      <c r="A109" s="37">
        <v>2025</v>
      </c>
      <c r="B109" s="35" t="s">
        <v>849</v>
      </c>
      <c r="C109" s="35" t="s">
        <v>808</v>
      </c>
      <c r="D109" s="36">
        <v>1950</v>
      </c>
      <c r="E109" s="35" t="s">
        <v>807</v>
      </c>
    </row>
    <row r="110" spans="1:5" x14ac:dyDescent="0.25">
      <c r="A110" s="37">
        <v>2025</v>
      </c>
      <c r="B110" s="35" t="s">
        <v>841</v>
      </c>
      <c r="C110" s="35" t="s">
        <v>811</v>
      </c>
      <c r="D110" s="36">
        <v>1950</v>
      </c>
      <c r="E110" s="35" t="s">
        <v>807</v>
      </c>
    </row>
    <row r="111" spans="1:5" x14ac:dyDescent="0.25">
      <c r="A111" s="37">
        <v>2025</v>
      </c>
      <c r="B111" s="35" t="s">
        <v>847</v>
      </c>
      <c r="C111" s="35" t="s">
        <v>808</v>
      </c>
      <c r="D111" s="36">
        <v>1900</v>
      </c>
      <c r="E111" s="35" t="s">
        <v>807</v>
      </c>
    </row>
    <row r="112" spans="1:5" x14ac:dyDescent="0.25">
      <c r="A112" s="37">
        <v>2025</v>
      </c>
      <c r="B112" s="35" t="s">
        <v>846</v>
      </c>
      <c r="C112" s="35" t="s">
        <v>811</v>
      </c>
      <c r="D112" s="36">
        <v>1900</v>
      </c>
      <c r="E112" s="35" t="s">
        <v>807</v>
      </c>
    </row>
    <row r="113" spans="1:5" x14ac:dyDescent="0.25">
      <c r="A113" s="37">
        <v>2025</v>
      </c>
      <c r="B113" s="35" t="s">
        <v>831</v>
      </c>
      <c r="C113" s="35" t="s">
        <v>811</v>
      </c>
      <c r="D113" s="36">
        <v>1850</v>
      </c>
      <c r="E113" s="35" t="s">
        <v>807</v>
      </c>
    </row>
    <row r="114" spans="1:5" x14ac:dyDescent="0.25">
      <c r="A114" s="37">
        <v>2026</v>
      </c>
      <c r="B114" s="35" t="s">
        <v>782</v>
      </c>
      <c r="C114" s="35" t="s">
        <v>171</v>
      </c>
      <c r="D114" s="36">
        <v>1840</v>
      </c>
      <c r="E114" s="35" t="s">
        <v>785</v>
      </c>
    </row>
    <row r="115" spans="1:5" x14ac:dyDescent="0.25">
      <c r="A115" s="37">
        <v>2025</v>
      </c>
      <c r="B115" s="35" t="s">
        <v>842</v>
      </c>
      <c r="C115" s="35" t="s">
        <v>808</v>
      </c>
      <c r="D115" s="36">
        <v>1800</v>
      </c>
      <c r="E115" s="35" t="s">
        <v>807</v>
      </c>
    </row>
    <row r="116" spans="1:5" x14ac:dyDescent="0.25">
      <c r="A116" s="37">
        <v>2025</v>
      </c>
      <c r="B116" s="35" t="s">
        <v>838</v>
      </c>
      <c r="C116" s="35" t="s">
        <v>811</v>
      </c>
      <c r="D116" s="36">
        <v>1800</v>
      </c>
      <c r="E116" s="35" t="s">
        <v>807</v>
      </c>
    </row>
    <row r="117" spans="1:5" x14ac:dyDescent="0.25">
      <c r="A117" s="37">
        <v>2025</v>
      </c>
      <c r="B117" s="35" t="s">
        <v>839</v>
      </c>
      <c r="C117" s="35" t="s">
        <v>811</v>
      </c>
      <c r="D117" s="36">
        <v>1750</v>
      </c>
      <c r="E117" s="35" t="s">
        <v>807</v>
      </c>
    </row>
    <row r="118" spans="1:5" x14ac:dyDescent="0.25">
      <c r="A118" s="37">
        <v>2025</v>
      </c>
      <c r="B118" s="35" t="s">
        <v>837</v>
      </c>
      <c r="C118" s="35" t="s">
        <v>808</v>
      </c>
      <c r="D118" s="36">
        <v>1700</v>
      </c>
      <c r="E118" s="35" t="s">
        <v>807</v>
      </c>
    </row>
    <row r="119" spans="1:5" x14ac:dyDescent="0.25">
      <c r="A119" s="37">
        <v>2025</v>
      </c>
      <c r="B119" s="35" t="s">
        <v>836</v>
      </c>
      <c r="C119" s="35" t="s">
        <v>811</v>
      </c>
      <c r="D119" s="36">
        <v>1700</v>
      </c>
      <c r="E119" s="35" t="s">
        <v>807</v>
      </c>
    </row>
    <row r="120" spans="1:5" x14ac:dyDescent="0.25">
      <c r="A120" s="37">
        <v>2026</v>
      </c>
      <c r="B120" s="35" t="s">
        <v>787</v>
      </c>
      <c r="C120" s="35" t="s">
        <v>171</v>
      </c>
      <c r="D120" s="36">
        <v>1660</v>
      </c>
      <c r="E120" s="35" t="s">
        <v>785</v>
      </c>
    </row>
    <row r="121" spans="1:5" x14ac:dyDescent="0.25">
      <c r="A121" s="37">
        <v>2026</v>
      </c>
      <c r="B121" s="35" t="s">
        <v>783</v>
      </c>
      <c r="C121" s="35" t="s">
        <v>171</v>
      </c>
      <c r="D121" s="36">
        <v>1620</v>
      </c>
      <c r="E121" s="35" t="s">
        <v>785</v>
      </c>
    </row>
    <row r="122" spans="1:5" x14ac:dyDescent="0.25">
      <c r="A122" s="37">
        <v>2025</v>
      </c>
      <c r="B122" s="35" t="s">
        <v>835</v>
      </c>
      <c r="C122" s="35" t="s">
        <v>808</v>
      </c>
      <c r="D122" s="36">
        <v>1600</v>
      </c>
      <c r="E122" s="35" t="s">
        <v>807</v>
      </c>
    </row>
    <row r="123" spans="1:5" x14ac:dyDescent="0.25">
      <c r="A123" s="37">
        <v>2025</v>
      </c>
      <c r="B123" s="35" t="s">
        <v>833</v>
      </c>
      <c r="C123" s="35" t="s">
        <v>811</v>
      </c>
      <c r="D123" s="36">
        <v>1600</v>
      </c>
      <c r="E123" s="35" t="s">
        <v>807</v>
      </c>
    </row>
    <row r="124" spans="1:5" x14ac:dyDescent="0.25">
      <c r="A124" s="37">
        <v>2025</v>
      </c>
      <c r="B124" s="35" t="s">
        <v>832</v>
      </c>
      <c r="C124" s="35" t="s">
        <v>808</v>
      </c>
      <c r="D124" s="36">
        <v>1550</v>
      </c>
      <c r="E124" s="35" t="s">
        <v>807</v>
      </c>
    </row>
    <row r="125" spans="1:5" x14ac:dyDescent="0.25">
      <c r="A125" s="37">
        <v>2025</v>
      </c>
      <c r="B125" s="35" t="s">
        <v>830</v>
      </c>
      <c r="C125" s="35" t="s">
        <v>811</v>
      </c>
      <c r="D125" s="36">
        <v>1550</v>
      </c>
      <c r="E125" s="35" t="s">
        <v>807</v>
      </c>
    </row>
    <row r="126" spans="1:5" x14ac:dyDescent="0.25">
      <c r="A126" s="37">
        <v>2025</v>
      </c>
      <c r="B126" s="35" t="s">
        <v>828</v>
      </c>
      <c r="C126" s="35" t="s">
        <v>808</v>
      </c>
      <c r="D126" s="36">
        <v>1500</v>
      </c>
      <c r="E126" s="35" t="s">
        <v>807</v>
      </c>
    </row>
    <row r="127" spans="1:5" x14ac:dyDescent="0.25">
      <c r="A127" s="37">
        <v>2025</v>
      </c>
      <c r="B127" s="35" t="s">
        <v>827</v>
      </c>
      <c r="C127" s="35" t="s">
        <v>811</v>
      </c>
      <c r="D127" s="36">
        <v>1500</v>
      </c>
      <c r="E127" s="35" t="s">
        <v>807</v>
      </c>
    </row>
    <row r="128" spans="1:5" x14ac:dyDescent="0.25">
      <c r="A128" s="37">
        <v>2025</v>
      </c>
      <c r="B128" s="35" t="s">
        <v>826</v>
      </c>
      <c r="C128" s="35" t="s">
        <v>808</v>
      </c>
      <c r="D128" s="36">
        <v>1475</v>
      </c>
      <c r="E128" s="35" t="s">
        <v>807</v>
      </c>
    </row>
    <row r="129" spans="1:5" x14ac:dyDescent="0.25">
      <c r="A129" s="37">
        <v>2025</v>
      </c>
      <c r="B129" s="35" t="s">
        <v>825</v>
      </c>
      <c r="C129" s="35" t="s">
        <v>811</v>
      </c>
      <c r="D129" s="36">
        <v>1450</v>
      </c>
      <c r="E129" s="35" t="s">
        <v>807</v>
      </c>
    </row>
    <row r="130" spans="1:5" x14ac:dyDescent="0.25">
      <c r="A130" s="37">
        <v>2026</v>
      </c>
      <c r="B130" s="35" t="s">
        <v>756</v>
      </c>
      <c r="C130" s="35" t="s">
        <v>660</v>
      </c>
      <c r="D130" s="36">
        <v>1450</v>
      </c>
      <c r="E130" s="35" t="s">
        <v>785</v>
      </c>
    </row>
    <row r="131" spans="1:5" x14ac:dyDescent="0.25">
      <c r="A131" s="37">
        <v>2025</v>
      </c>
      <c r="B131" s="35" t="s">
        <v>824</v>
      </c>
      <c r="C131" s="35" t="s">
        <v>808</v>
      </c>
      <c r="D131" s="36">
        <v>1400</v>
      </c>
      <c r="E131" s="35" t="s">
        <v>807</v>
      </c>
    </row>
    <row r="132" spans="1:5" x14ac:dyDescent="0.25">
      <c r="A132" s="37">
        <v>2025</v>
      </c>
      <c r="B132" s="35" t="s">
        <v>822</v>
      </c>
      <c r="C132" s="35" t="s">
        <v>811</v>
      </c>
      <c r="D132" s="36">
        <v>1400</v>
      </c>
      <c r="E132" s="35" t="s">
        <v>807</v>
      </c>
    </row>
    <row r="133" spans="1:5" x14ac:dyDescent="0.25">
      <c r="A133" s="37">
        <v>2026</v>
      </c>
      <c r="B133" s="35" t="s">
        <v>758</v>
      </c>
      <c r="C133" s="35" t="s">
        <v>660</v>
      </c>
      <c r="D133" s="36">
        <v>1400</v>
      </c>
      <c r="E133" s="35" t="s">
        <v>785</v>
      </c>
    </row>
    <row r="134" spans="1:5" x14ac:dyDescent="0.25">
      <c r="A134" s="37">
        <v>2025</v>
      </c>
      <c r="B134" s="35" t="s">
        <v>820</v>
      </c>
      <c r="C134" s="35" t="s">
        <v>811</v>
      </c>
      <c r="D134" s="36">
        <v>1375</v>
      </c>
      <c r="E134" s="35" t="s">
        <v>807</v>
      </c>
    </row>
    <row r="135" spans="1:5" x14ac:dyDescent="0.25">
      <c r="A135" s="37">
        <v>2025</v>
      </c>
      <c r="B135" s="35" t="s">
        <v>819</v>
      </c>
      <c r="C135" s="35" t="s">
        <v>808</v>
      </c>
      <c r="D135" s="36">
        <v>1350</v>
      </c>
      <c r="E135" s="35" t="s">
        <v>807</v>
      </c>
    </row>
    <row r="136" spans="1:5" x14ac:dyDescent="0.25">
      <c r="A136" s="37">
        <v>2025</v>
      </c>
      <c r="B136" s="35" t="s">
        <v>818</v>
      </c>
      <c r="C136" s="35" t="s">
        <v>811</v>
      </c>
      <c r="D136" s="36">
        <v>1350</v>
      </c>
      <c r="E136" s="35" t="s">
        <v>807</v>
      </c>
    </row>
    <row r="137" spans="1:5" x14ac:dyDescent="0.25">
      <c r="A137" s="37">
        <v>2025</v>
      </c>
      <c r="B137" s="35" t="s">
        <v>817</v>
      </c>
      <c r="C137" s="35" t="s">
        <v>808</v>
      </c>
      <c r="D137" s="36">
        <v>1325</v>
      </c>
      <c r="E137" s="35" t="s">
        <v>807</v>
      </c>
    </row>
    <row r="138" spans="1:5" x14ac:dyDescent="0.25">
      <c r="A138" s="37">
        <v>2025</v>
      </c>
      <c r="B138" s="35" t="s">
        <v>815</v>
      </c>
      <c r="C138" s="35" t="s">
        <v>811</v>
      </c>
      <c r="D138" s="36">
        <v>1325</v>
      </c>
      <c r="E138" s="35" t="s">
        <v>807</v>
      </c>
    </row>
    <row r="139" spans="1:5" x14ac:dyDescent="0.25">
      <c r="A139" s="37">
        <v>2025</v>
      </c>
      <c r="B139" s="35" t="s">
        <v>814</v>
      </c>
      <c r="C139" s="35" t="s">
        <v>808</v>
      </c>
      <c r="D139" s="36">
        <v>1300</v>
      </c>
      <c r="E139" s="35" t="s">
        <v>807</v>
      </c>
    </row>
    <row r="140" spans="1:5" x14ac:dyDescent="0.25">
      <c r="A140" s="37">
        <v>2025</v>
      </c>
      <c r="B140" s="35" t="s">
        <v>812</v>
      </c>
      <c r="C140" s="35" t="s">
        <v>811</v>
      </c>
      <c r="D140" s="36">
        <v>1300</v>
      </c>
      <c r="E140" s="35" t="s">
        <v>807</v>
      </c>
    </row>
    <row r="141" spans="1:5" x14ac:dyDescent="0.25">
      <c r="A141" s="37">
        <v>2025</v>
      </c>
      <c r="B141" s="35" t="s">
        <v>810</v>
      </c>
      <c r="C141" s="35" t="s">
        <v>808</v>
      </c>
      <c r="D141" s="36">
        <v>1250</v>
      </c>
      <c r="E141" s="35" t="s">
        <v>807</v>
      </c>
    </row>
    <row r="142" spans="1:5" x14ac:dyDescent="0.25">
      <c r="A142" s="37">
        <v>2026</v>
      </c>
      <c r="B142" s="35" t="s">
        <v>773</v>
      </c>
      <c r="C142" s="35" t="s">
        <v>660</v>
      </c>
      <c r="D142" s="36">
        <v>1170</v>
      </c>
      <c r="E142" s="35" t="s">
        <v>785</v>
      </c>
    </row>
    <row r="143" spans="1:5" x14ac:dyDescent="0.25">
      <c r="A143" s="37">
        <v>2026</v>
      </c>
      <c r="B143" s="35" t="s">
        <v>760</v>
      </c>
      <c r="C143" s="35" t="s">
        <v>660</v>
      </c>
      <c r="D143" s="36">
        <v>1140</v>
      </c>
      <c r="E143" s="35" t="s">
        <v>785</v>
      </c>
    </row>
    <row r="144" spans="1:5" x14ac:dyDescent="0.25">
      <c r="A144" s="37">
        <v>2026</v>
      </c>
      <c r="B144" s="35" t="s">
        <v>761</v>
      </c>
      <c r="C144" s="35" t="s">
        <v>660</v>
      </c>
      <c r="D144" s="36">
        <v>1120</v>
      </c>
      <c r="E144" s="35" t="s">
        <v>785</v>
      </c>
    </row>
    <row r="145" spans="1:5" x14ac:dyDescent="0.25">
      <c r="A145" s="37">
        <v>2025</v>
      </c>
      <c r="B145" s="35" t="s">
        <v>809</v>
      </c>
      <c r="C145" s="35" t="s">
        <v>808</v>
      </c>
      <c r="D145" s="36">
        <v>1050</v>
      </c>
      <c r="E145" s="35" t="s">
        <v>807</v>
      </c>
    </row>
    <row r="146" spans="1:5" x14ac:dyDescent="0.25">
      <c r="A146" s="37">
        <v>2026</v>
      </c>
      <c r="B146" s="35" t="s">
        <v>806</v>
      </c>
      <c r="C146" s="35" t="s">
        <v>376</v>
      </c>
      <c r="D146" s="36">
        <v>1040</v>
      </c>
      <c r="E146" s="35" t="s">
        <v>785</v>
      </c>
    </row>
    <row r="147" spans="1:5" x14ac:dyDescent="0.25">
      <c r="A147" s="37">
        <v>2026</v>
      </c>
      <c r="B147" s="35" t="s">
        <v>805</v>
      </c>
      <c r="C147" s="35" t="s">
        <v>376</v>
      </c>
      <c r="D147" s="36">
        <v>1020</v>
      </c>
      <c r="E147" s="35" t="s">
        <v>785</v>
      </c>
    </row>
    <row r="148" spans="1:5" x14ac:dyDescent="0.25">
      <c r="A148" s="37">
        <v>2026</v>
      </c>
      <c r="B148" s="35" t="s">
        <v>804</v>
      </c>
      <c r="C148" s="35" t="s">
        <v>376</v>
      </c>
      <c r="D148" s="36">
        <v>1000</v>
      </c>
      <c r="E148" s="35" t="s">
        <v>785</v>
      </c>
    </row>
    <row r="149" spans="1:5" x14ac:dyDescent="0.25">
      <c r="A149" s="37">
        <v>2026</v>
      </c>
      <c r="B149" s="35" t="s">
        <v>764</v>
      </c>
      <c r="C149" s="35" t="s">
        <v>660</v>
      </c>
      <c r="D149" s="36">
        <v>915</v>
      </c>
      <c r="E149" s="35" t="s">
        <v>785</v>
      </c>
    </row>
    <row r="150" spans="1:5" x14ac:dyDescent="0.25">
      <c r="A150" s="37">
        <v>2026</v>
      </c>
      <c r="B150" s="35" t="s">
        <v>754</v>
      </c>
      <c r="C150" s="35" t="s">
        <v>660</v>
      </c>
      <c r="D150" s="36">
        <v>910</v>
      </c>
      <c r="E150" s="35" t="s">
        <v>785</v>
      </c>
    </row>
    <row r="151" spans="1:5" x14ac:dyDescent="0.25">
      <c r="A151" s="37">
        <v>2026</v>
      </c>
      <c r="B151" s="35" t="s">
        <v>803</v>
      </c>
      <c r="C151" s="35" t="s">
        <v>376</v>
      </c>
      <c r="D151" s="36">
        <v>895</v>
      </c>
      <c r="E151" s="35" t="s">
        <v>785</v>
      </c>
    </row>
    <row r="152" spans="1:5" x14ac:dyDescent="0.25">
      <c r="A152" s="37">
        <v>2026</v>
      </c>
      <c r="B152" s="35" t="s">
        <v>788</v>
      </c>
      <c r="C152" s="35" t="s">
        <v>171</v>
      </c>
      <c r="D152" s="36">
        <v>840</v>
      </c>
      <c r="E152" s="35" t="s">
        <v>785</v>
      </c>
    </row>
    <row r="153" spans="1:5" x14ac:dyDescent="0.25">
      <c r="A153" s="37">
        <v>2026</v>
      </c>
      <c r="B153" s="35" t="s">
        <v>802</v>
      </c>
      <c r="C153" s="35" t="s">
        <v>376</v>
      </c>
      <c r="D153" s="36">
        <v>835</v>
      </c>
      <c r="E153" s="35" t="s">
        <v>785</v>
      </c>
    </row>
    <row r="154" spans="1:5" x14ac:dyDescent="0.25">
      <c r="A154" s="37">
        <v>2026</v>
      </c>
      <c r="B154" s="35" t="s">
        <v>769</v>
      </c>
      <c r="C154" s="35" t="s">
        <v>660</v>
      </c>
      <c r="D154" s="36">
        <v>800</v>
      </c>
      <c r="E154" s="35" t="s">
        <v>785</v>
      </c>
    </row>
    <row r="155" spans="1:5" x14ac:dyDescent="0.25">
      <c r="A155" s="37">
        <v>2026</v>
      </c>
      <c r="B155" s="35" t="s">
        <v>791</v>
      </c>
      <c r="C155" s="35" t="s">
        <v>171</v>
      </c>
      <c r="D155" s="36">
        <v>795</v>
      </c>
      <c r="E155" s="35" t="s">
        <v>785</v>
      </c>
    </row>
    <row r="156" spans="1:5" x14ac:dyDescent="0.25">
      <c r="A156" s="37">
        <v>2026</v>
      </c>
      <c r="B156" s="35" t="s">
        <v>757</v>
      </c>
      <c r="C156" s="35" t="s">
        <v>660</v>
      </c>
      <c r="D156" s="36">
        <v>790</v>
      </c>
      <c r="E156" s="35" t="s">
        <v>785</v>
      </c>
    </row>
    <row r="157" spans="1:5" x14ac:dyDescent="0.25">
      <c r="A157" s="37">
        <v>2026</v>
      </c>
      <c r="B157" s="35" t="s">
        <v>776</v>
      </c>
      <c r="C157" s="35" t="s">
        <v>774</v>
      </c>
      <c r="D157" s="36">
        <v>775</v>
      </c>
      <c r="E157" s="35" t="s">
        <v>785</v>
      </c>
    </row>
    <row r="158" spans="1:5" x14ac:dyDescent="0.25">
      <c r="A158" s="37">
        <v>2026</v>
      </c>
      <c r="B158" s="35" t="s">
        <v>751</v>
      </c>
      <c r="C158" s="35" t="s">
        <v>660</v>
      </c>
      <c r="D158" s="36">
        <v>765</v>
      </c>
      <c r="E158" s="35" t="s">
        <v>785</v>
      </c>
    </row>
    <row r="159" spans="1:5" x14ac:dyDescent="0.25">
      <c r="A159" s="37">
        <v>2026</v>
      </c>
      <c r="B159" s="35" t="s">
        <v>753</v>
      </c>
      <c r="C159" s="35" t="s">
        <v>660</v>
      </c>
      <c r="D159" s="36">
        <v>755</v>
      </c>
      <c r="E159" s="35" t="s">
        <v>785</v>
      </c>
    </row>
    <row r="160" spans="1:5" x14ac:dyDescent="0.25">
      <c r="A160" s="37">
        <v>2026</v>
      </c>
      <c r="B160" s="35" t="s">
        <v>772</v>
      </c>
      <c r="C160" s="35" t="s">
        <v>660</v>
      </c>
      <c r="D160" s="36">
        <v>750</v>
      </c>
      <c r="E160" s="35" t="s">
        <v>785</v>
      </c>
    </row>
    <row r="161" spans="1:5" x14ac:dyDescent="0.25">
      <c r="A161" s="37">
        <v>2026</v>
      </c>
      <c r="B161" s="35" t="s">
        <v>762</v>
      </c>
      <c r="C161" s="35" t="s">
        <v>660</v>
      </c>
      <c r="D161" s="36">
        <v>745</v>
      </c>
      <c r="E161" s="35" t="s">
        <v>785</v>
      </c>
    </row>
    <row r="162" spans="1:5" x14ac:dyDescent="0.25">
      <c r="A162" s="37">
        <v>2026</v>
      </c>
      <c r="B162" s="35" t="s">
        <v>763</v>
      </c>
      <c r="C162" s="35" t="s">
        <v>660</v>
      </c>
      <c r="D162" s="36">
        <v>740</v>
      </c>
      <c r="E162" s="35" t="s">
        <v>785</v>
      </c>
    </row>
    <row r="163" spans="1:5" x14ac:dyDescent="0.25">
      <c r="A163" s="37">
        <v>2026</v>
      </c>
      <c r="B163" s="35" t="s">
        <v>777</v>
      </c>
      <c r="C163" s="35" t="s">
        <v>774</v>
      </c>
      <c r="D163" s="36">
        <v>735</v>
      </c>
      <c r="E163" s="35" t="s">
        <v>785</v>
      </c>
    </row>
    <row r="164" spans="1:5" x14ac:dyDescent="0.25">
      <c r="A164" s="37">
        <v>2026</v>
      </c>
      <c r="B164" s="35" t="s">
        <v>765</v>
      </c>
      <c r="C164" s="35" t="s">
        <v>660</v>
      </c>
      <c r="D164" s="36">
        <v>730</v>
      </c>
      <c r="E164" s="35" t="s">
        <v>785</v>
      </c>
    </row>
    <row r="165" spans="1:5" x14ac:dyDescent="0.25">
      <c r="A165" s="37">
        <v>2026</v>
      </c>
      <c r="B165" s="35" t="s">
        <v>589</v>
      </c>
      <c r="C165" s="35" t="s">
        <v>376</v>
      </c>
      <c r="D165" s="36">
        <v>730</v>
      </c>
      <c r="E165" s="35" t="s">
        <v>785</v>
      </c>
    </row>
    <row r="166" spans="1:5" x14ac:dyDescent="0.25">
      <c r="A166" s="37">
        <v>2026</v>
      </c>
      <c r="B166" s="35" t="s">
        <v>797</v>
      </c>
      <c r="C166" s="35" t="s">
        <v>173</v>
      </c>
      <c r="D166" s="36">
        <v>720</v>
      </c>
      <c r="E166" s="35" t="s">
        <v>785</v>
      </c>
    </row>
    <row r="167" spans="1:5" x14ac:dyDescent="0.25">
      <c r="A167" s="37">
        <v>2026</v>
      </c>
      <c r="B167" s="35" t="s">
        <v>799</v>
      </c>
      <c r="C167" s="35" t="s">
        <v>393</v>
      </c>
      <c r="D167" s="36">
        <v>710</v>
      </c>
      <c r="E167" s="35" t="s">
        <v>785</v>
      </c>
    </row>
    <row r="168" spans="1:5" x14ac:dyDescent="0.25">
      <c r="A168" s="37">
        <v>2026</v>
      </c>
      <c r="B168" s="35" t="s">
        <v>798</v>
      </c>
      <c r="C168" s="35" t="s">
        <v>376</v>
      </c>
      <c r="D168" s="36">
        <v>705</v>
      </c>
      <c r="E168" s="35" t="s">
        <v>785</v>
      </c>
    </row>
    <row r="169" spans="1:5" x14ac:dyDescent="0.25">
      <c r="A169" s="37">
        <v>2026</v>
      </c>
      <c r="B169" s="35" t="s">
        <v>781</v>
      </c>
      <c r="C169" s="35" t="s">
        <v>326</v>
      </c>
      <c r="D169" s="36">
        <v>695</v>
      </c>
      <c r="E169" s="35" t="s">
        <v>785</v>
      </c>
    </row>
    <row r="170" spans="1:5" x14ac:dyDescent="0.25">
      <c r="A170" s="37">
        <v>2026</v>
      </c>
      <c r="B170" s="35" t="s">
        <v>767</v>
      </c>
      <c r="C170" s="35" t="s">
        <v>660</v>
      </c>
      <c r="D170" s="36">
        <v>690</v>
      </c>
      <c r="E170" s="35" t="s">
        <v>785</v>
      </c>
    </row>
    <row r="171" spans="1:5" x14ac:dyDescent="0.25">
      <c r="A171" s="37">
        <v>2026</v>
      </c>
      <c r="B171" s="35" t="s">
        <v>771</v>
      </c>
      <c r="C171" s="35" t="s">
        <v>660</v>
      </c>
      <c r="D171" s="36">
        <v>685</v>
      </c>
      <c r="E171" s="35" t="s">
        <v>785</v>
      </c>
    </row>
    <row r="172" spans="1:5" x14ac:dyDescent="0.25">
      <c r="A172" s="37">
        <v>2026</v>
      </c>
      <c r="B172" s="35" t="s">
        <v>795</v>
      </c>
      <c r="C172" s="35" t="s">
        <v>376</v>
      </c>
      <c r="D172" s="36">
        <v>680</v>
      </c>
      <c r="E172" s="35" t="s">
        <v>785</v>
      </c>
    </row>
    <row r="173" spans="1:5" x14ac:dyDescent="0.25">
      <c r="A173" s="37">
        <v>2026</v>
      </c>
      <c r="B173" s="35" t="s">
        <v>794</v>
      </c>
      <c r="C173" s="35" t="s">
        <v>376</v>
      </c>
      <c r="D173" s="36">
        <v>680</v>
      </c>
      <c r="E173" s="35" t="s">
        <v>785</v>
      </c>
    </row>
    <row r="174" spans="1:5" x14ac:dyDescent="0.25">
      <c r="A174" s="37">
        <v>2026</v>
      </c>
      <c r="B174" s="35" t="s">
        <v>752</v>
      </c>
      <c r="C174" s="35" t="s">
        <v>660</v>
      </c>
      <c r="D174" s="36">
        <v>675</v>
      </c>
      <c r="E174" s="35" t="s">
        <v>785</v>
      </c>
    </row>
    <row r="175" spans="1:5" x14ac:dyDescent="0.25">
      <c r="A175" s="37">
        <v>2026</v>
      </c>
      <c r="B175" s="35" t="s">
        <v>793</v>
      </c>
      <c r="C175" s="35" t="s">
        <v>376</v>
      </c>
      <c r="D175" s="36">
        <v>675</v>
      </c>
      <c r="E175" s="35" t="s">
        <v>785</v>
      </c>
    </row>
    <row r="176" spans="1:5" x14ac:dyDescent="0.25">
      <c r="A176">
        <v>2025</v>
      </c>
      <c r="B176" t="s">
        <v>792</v>
      </c>
      <c r="C176" t="s">
        <v>376</v>
      </c>
      <c r="D176" s="34">
        <v>630</v>
      </c>
      <c r="E176" s="35" t="s">
        <v>785</v>
      </c>
    </row>
    <row r="177" spans="1:5" x14ac:dyDescent="0.25">
      <c r="A177">
        <v>2024</v>
      </c>
      <c r="B177" t="s">
        <v>784</v>
      </c>
      <c r="C177" t="s">
        <v>171</v>
      </c>
      <c r="D177" s="34">
        <v>595</v>
      </c>
      <c r="E177" s="35" t="s">
        <v>785</v>
      </c>
    </row>
    <row r="178" spans="1:5" x14ac:dyDescent="0.25">
      <c r="A178">
        <v>2023</v>
      </c>
      <c r="B178" t="s">
        <v>780</v>
      </c>
      <c r="C178" t="s">
        <v>326</v>
      </c>
      <c r="D178" s="34">
        <v>590</v>
      </c>
      <c r="E178" s="35" t="s">
        <v>785</v>
      </c>
    </row>
    <row r="179" spans="1:5" x14ac:dyDescent="0.25">
      <c r="A179">
        <v>2024</v>
      </c>
      <c r="B179" t="s">
        <v>766</v>
      </c>
      <c r="C179" t="s">
        <v>660</v>
      </c>
      <c r="D179" s="34">
        <v>550</v>
      </c>
      <c r="E179" s="35" t="s">
        <v>785</v>
      </c>
    </row>
    <row r="180" spans="1:5" x14ac:dyDescent="0.25">
      <c r="A180">
        <v>2025</v>
      </c>
      <c r="B180" t="s">
        <v>759</v>
      </c>
      <c r="C180" t="s">
        <v>660</v>
      </c>
      <c r="D180" s="34">
        <v>655</v>
      </c>
      <c r="E180" s="35" t="s">
        <v>785</v>
      </c>
    </row>
    <row r="181" spans="1:5" x14ac:dyDescent="0.25">
      <c r="A181">
        <v>2024</v>
      </c>
      <c r="B181" t="s">
        <v>775</v>
      </c>
      <c r="C181" t="s">
        <v>774</v>
      </c>
      <c r="D181" s="34">
        <v>565</v>
      </c>
      <c r="E181" s="35" t="s">
        <v>785</v>
      </c>
    </row>
    <row r="182" spans="1:5" x14ac:dyDescent="0.25">
      <c r="A182">
        <v>2025</v>
      </c>
      <c r="B182" t="s">
        <v>755</v>
      </c>
      <c r="C182" t="s">
        <v>660</v>
      </c>
      <c r="D182" s="34">
        <v>640</v>
      </c>
      <c r="E182" s="35" t="s">
        <v>785</v>
      </c>
    </row>
    <row r="183" spans="1:5" x14ac:dyDescent="0.25">
      <c r="A183">
        <v>2025</v>
      </c>
      <c r="B183" t="s">
        <v>770</v>
      </c>
      <c r="C183" t="s">
        <v>660</v>
      </c>
      <c r="D183" s="34">
        <v>645</v>
      </c>
      <c r="E183" s="35" t="s">
        <v>785</v>
      </c>
    </row>
    <row r="184" spans="1:5" x14ac:dyDescent="0.25">
      <c r="A184">
        <v>2025</v>
      </c>
      <c r="B184" t="s">
        <v>790</v>
      </c>
      <c r="C184" t="s">
        <v>164</v>
      </c>
      <c r="D184" s="34">
        <v>750</v>
      </c>
      <c r="E184" s="35" t="s">
        <v>785</v>
      </c>
    </row>
    <row r="185" spans="1:5" x14ac:dyDescent="0.25">
      <c r="A185">
        <v>2024</v>
      </c>
      <c r="B185" t="s">
        <v>789</v>
      </c>
      <c r="C185" t="s">
        <v>173</v>
      </c>
      <c r="D185" s="34">
        <v>610</v>
      </c>
      <c r="E185" s="35" t="s">
        <v>785</v>
      </c>
    </row>
    <row r="186" spans="1:5" x14ac:dyDescent="0.25">
      <c r="A186">
        <v>2024</v>
      </c>
      <c r="B186" t="s">
        <v>768</v>
      </c>
      <c r="C186" t="s">
        <v>660</v>
      </c>
      <c r="D186" s="34">
        <v>560</v>
      </c>
      <c r="E186" s="35" t="s">
        <v>785</v>
      </c>
    </row>
    <row r="187" spans="1:5" x14ac:dyDescent="0.25">
      <c r="A187">
        <v>2023</v>
      </c>
      <c r="B187" t="s">
        <v>779</v>
      </c>
      <c r="C187" t="s">
        <v>154</v>
      </c>
      <c r="D187" s="34">
        <v>535</v>
      </c>
      <c r="E187" s="35" t="s">
        <v>785</v>
      </c>
    </row>
    <row r="188" spans="1:5" x14ac:dyDescent="0.25">
      <c r="A188">
        <v>2023</v>
      </c>
      <c r="B188" t="s">
        <v>786</v>
      </c>
      <c r="C188" t="s">
        <v>171</v>
      </c>
      <c r="D188" s="34">
        <v>530</v>
      </c>
      <c r="E188" s="35" t="s">
        <v>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IPL Table</vt:lpstr>
      <vt:lpstr>IPL Playoff Matches</vt:lpstr>
      <vt:lpstr>Euroleague Table</vt:lpstr>
      <vt:lpstr>Women's Club Football</vt:lpstr>
      <vt:lpstr>WNBA</vt:lpstr>
      <vt:lpstr>Team Valuations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Desikan</dc:creator>
  <cp:lastModifiedBy>Ashwin Desikan</cp:lastModifiedBy>
  <dcterms:created xsi:type="dcterms:W3CDTF">2026-05-31T18:00:06Z</dcterms:created>
  <dcterms:modified xsi:type="dcterms:W3CDTF">2026-06-04T13:35:43Z</dcterms:modified>
</cp:coreProperties>
</file>